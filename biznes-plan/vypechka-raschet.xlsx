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Цены продуктов" sheetId="2" state="visible" r:id="rId4"/>
    <sheet name="Себестоимость" sheetId="3" state="visible" r:id="rId5"/>
    <sheet name="Цены и маржа" sheetId="4" state="visible" r:id="rId6"/>
    <sheet name="Сценарии" sheetId="5" state="visible" r:id="rId7"/>
    <sheet name="Старт" sheetId="6" state="visible" r:id="rId8"/>
    <sheet name="Учёт продаж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<sst xmlns="http://schemas.openxmlformats.org/spreadsheetml/2006/main" count="234" uniqueCount="170">
  <si>
    <t xml:space="preserve">Домашняя выпечка — расчёт</t>
  </si>
  <si>
    <t xml:space="preserve">Как пользоваться</t>
  </si>
  <si>
    <t xml:space="preserve">1. Синие цифры на жёлтом фоне — то, что вы меняете сами: цены продуктов, рецептуры, цены продажи, объёмы продаж.</t>
  </si>
  <si>
    <t xml:space="preserve">2. Чёрные цифры считаются формулами — их не трогать.</t>
  </si>
  <si>
    <t xml:space="preserve">3. Зелёные цифры подтягиваются с других листов.</t>
  </si>
  <si>
    <t xml:space="preserve">4. Поменяли цену масла на листе «Цены продуктов» — себестоимость, маржа и прибыль пересчитаются сами.</t>
  </si>
  <si>
    <t xml:space="preserve">5. Лист «Учёт продаж» — журнал: каждая продажа одной строкой. Строка 5 — пример, её можно удалить.</t>
  </si>
  <si>
    <t xml:space="preserve">Листы</t>
  </si>
  <si>
    <t xml:space="preserve">Цены продуктов — закупочные цены (Алматинская обл., октябрь 2026, ориентир)</t>
  </si>
  <si>
    <t xml:space="preserve">Себестоимость — рецептуры на одну партию и стоимость одной штуки</t>
  </si>
  <si>
    <t xml:space="preserve">Цены и маржа — цена набора, сколько остаётся с каждой продажи</t>
  </si>
  <si>
    <t xml:space="preserve">Сценарии — 3 варианта спроса: выручка, прибыль за месяц, часы работы, окупаемость</t>
  </si>
  <si>
    <t xml:space="preserve">Старт — стартовые вложения</t>
  </si>
  <si>
    <t xml:space="preserve">Учёт продаж — журнал продаж с итогами</t>
  </si>
  <si>
    <t xml:space="preserve">Цены закупки</t>
  </si>
  <si>
    <t xml:space="preserve">Синие ячейки — меняйте на свои цены из магазина. Цена за единицу считается сама.</t>
  </si>
  <si>
    <t xml:space="preserve">Продукт</t>
  </si>
  <si>
    <t xml:space="preserve">Упаковка</t>
  </si>
  <si>
    <t xml:space="preserve">Цена упаковки, тг</t>
  </si>
  <si>
    <t xml:space="preserve">Сколько в упаковке</t>
  </si>
  <si>
    <t xml:space="preserve">Единица</t>
  </si>
  <si>
    <t xml:space="preserve">Цена за единицу, тг</t>
  </si>
  <si>
    <t xml:space="preserve">Откуда цена</t>
  </si>
  <si>
    <t xml:space="preserve">Мука высший сорт</t>
  </si>
  <si>
    <t xml:space="preserve">пакет 2 кг</t>
  </si>
  <si>
    <t xml:space="preserve">кг</t>
  </si>
  <si>
    <t xml:space="preserve">Магазины Алматы, 2026 (~389–499 тг/кг)</t>
  </si>
  <si>
    <t xml:space="preserve">Сахар</t>
  </si>
  <si>
    <t xml:space="preserve">пакет 1 кг</t>
  </si>
  <si>
    <t xml:space="preserve">Оценка, проверить в магазине</t>
  </si>
  <si>
    <t xml:space="preserve">Яйца С1</t>
  </si>
  <si>
    <t xml:space="preserve">десяток</t>
  </si>
  <si>
    <t xml:space="preserve">шт</t>
  </si>
  <si>
    <t xml:space="preserve">Алматы 2026: 545–590 тг + инфляция</t>
  </si>
  <si>
    <t xml:space="preserve">Масло сливочное 72,5%</t>
  </si>
  <si>
    <t xml:space="preserve">пачка 180 г</t>
  </si>
  <si>
    <t xml:space="preserve">Алматы 2026: развес 2510–2930 тг/кг; пачка дороже</t>
  </si>
  <si>
    <t xml:space="preserve">Маргарин сливочный</t>
  </si>
  <si>
    <t xml:space="preserve">пачка 250 г</t>
  </si>
  <si>
    <t xml:space="preserve">Сгущёнка варёная</t>
  </si>
  <si>
    <t xml:space="preserve">банка 380 г</t>
  </si>
  <si>
    <t xml:space="preserve">банка</t>
  </si>
  <si>
    <t xml:space="preserve">Яблоки</t>
  </si>
  <si>
    <t xml:space="preserve">Цена в домовом чате: 300–400 тг/кг</t>
  </si>
  <si>
    <t xml:space="preserve">Разрыхлитель, ванилин, сода, корица</t>
  </si>
  <si>
    <t xml:space="preserve">на одну партию</t>
  </si>
  <si>
    <t xml:space="preserve">партия</t>
  </si>
  <si>
    <t xml:space="preserve">Оценка</t>
  </si>
  <si>
    <t xml:space="preserve">Бумага для выпечки</t>
  </si>
  <si>
    <t xml:space="preserve">лист</t>
  </si>
  <si>
    <t xml:space="preserve">Коробка для пирога 26 см</t>
  </si>
  <si>
    <t xml:space="preserve">Оценка, оптом дешевле</t>
  </si>
  <si>
    <t xml:space="preserve">Крафт-коробка с окном</t>
  </si>
  <si>
    <t xml:space="preserve">Наклейка с составом и датой</t>
  </si>
  <si>
    <t xml:space="preserve">Себестоимость: рецептуры на одну партию</t>
  </si>
  <si>
    <t xml:space="preserve">Количество (синие) можно менять. Название продукта должно совпадать с листом «Цены продуктов».</t>
  </si>
  <si>
    <t xml:space="preserve">Масло сливочное 72,5% в орешках и трубочках указано двумя строками: в тесто и в крем.</t>
  </si>
  <si>
    <t xml:space="preserve">Орешки со сгущёнкой</t>
  </si>
  <si>
    <t xml:space="preserve">Ингредиент</t>
  </si>
  <si>
    <t xml:space="preserve">Количество</t>
  </si>
  <si>
    <t xml:space="preserve">Стоимость, тг</t>
  </si>
  <si>
    <t xml:space="preserve">Итого на партию</t>
  </si>
  <si>
    <t xml:space="preserve">Выход партии (орешков (100 половинок))</t>
  </si>
  <si>
    <t xml:space="preserve">Себестоимость 1 шт (без упаковки)</t>
  </si>
  <si>
    <t xml:space="preserve">Вафельные трубочки со сгущёнкой</t>
  </si>
  <si>
    <t xml:space="preserve">Выход партии (трубочек)</t>
  </si>
  <si>
    <t xml:space="preserve">Шарлотка (форма 26 см)</t>
  </si>
  <si>
    <t xml:space="preserve">Выход партии (пирог ~1,2 кг)</t>
  </si>
  <si>
    <t xml:space="preserve">Цены продажи и маржа с одного набора</t>
  </si>
  <si>
    <t xml:space="preserve">Товар (набор)</t>
  </si>
  <si>
    <t xml:space="preserve">Штук в наборе</t>
  </si>
  <si>
    <t xml:space="preserve">Себестоимость 1 шт, тг</t>
  </si>
  <si>
    <t xml:space="preserve">Продукты на набор, тг</t>
  </si>
  <si>
    <t xml:space="preserve">Упаковка + наклейка, тг</t>
  </si>
  <si>
    <t xml:space="preserve">Полная себестоимость набора, тг</t>
  </si>
  <si>
    <t xml:space="preserve">Цена продажи, тг</t>
  </si>
  <si>
    <t xml:space="preserve">Остаётся с продажи, тг</t>
  </si>
  <si>
    <t xml:space="preserve">Маржа, %</t>
  </si>
  <si>
    <t xml:space="preserve">Часов на набор (с доставкой)</t>
  </si>
  <si>
    <t xml:space="preserve">Заработок за 1 час, тг</t>
  </si>
  <si>
    <t xml:space="preserve">Орешки со сгущёнкой, 12 шт</t>
  </si>
  <si>
    <t xml:space="preserve">Вафельные трубочки, 10 шт</t>
  </si>
  <si>
    <t xml:space="preserve">Шарлотка целая, 26 см</t>
  </si>
  <si>
    <t xml:space="preserve">Цены продажи — гипотеза для старта. Ориентир чата: кимчи 2000 тг за 1 л, яблоки 300–400 тг/кг (данные пользователя).</t>
  </si>
  <si>
    <t xml:space="preserve">Если маржа ниже 40% — поднимите цену или замените часть сливочного масла маргарином на листе «Себестоимость».</t>
  </si>
  <si>
    <t xml:space="preserve">Сценарии спроса: сколько можно заработать</t>
  </si>
  <si>
    <t xml:space="preserve">Объёмы продаж в неделю (синие) — меняйте по факту. Остальное считается.</t>
  </si>
  <si>
    <t xml:space="preserve">Показатель</t>
  </si>
  <si>
    <t xml:space="preserve">Осторожный</t>
  </si>
  <si>
    <t xml:space="preserve">Базовый</t>
  </si>
  <si>
    <t xml:space="preserve">Удачный</t>
  </si>
  <si>
    <t xml:space="preserve">Пояснение</t>
  </si>
  <si>
    <t xml:space="preserve">Орешки, наборов в неделю</t>
  </si>
  <si>
    <t xml:space="preserve">Осторожный ≈ 5% домов покупают раз в неделю; базовый ≈ 10%; удачный ≈ 16% (154 дома)</t>
  </si>
  <si>
    <t xml:space="preserve">Трубочки, наборов в неделю</t>
  </si>
  <si>
    <t xml:space="preserve">Шарлотка, пирогов в неделю</t>
  </si>
  <si>
    <t xml:space="preserve">Продаж в неделю, шт</t>
  </si>
  <si>
    <t xml:space="preserve">Доля домов посёлка</t>
  </si>
  <si>
    <t xml:space="preserve">Сколько домов из 154 покупают раз в неделю</t>
  </si>
  <si>
    <t xml:space="preserve">Выручка в неделю, тг</t>
  </si>
  <si>
    <t xml:space="preserve">Затраты на продукты и упаковку в неделю, тг</t>
  </si>
  <si>
    <t xml:space="preserve">Валовая прибыль в неделю, тг</t>
  </si>
  <si>
    <t xml:space="preserve">Выручка в месяц, тг</t>
  </si>
  <si>
    <t xml:space="preserve">Продукты и упаковка в месяц, тг</t>
  </si>
  <si>
    <t xml:space="preserve">Свет и газ, тг в месяц</t>
  </si>
  <si>
    <t xml:space="preserve">Пробники, брак, списания, тг</t>
  </si>
  <si>
    <t xml:space="preserve">Налог самозанятого, тг</t>
  </si>
  <si>
    <t xml:space="preserve">Чистая прибыль в месяц, тг</t>
  </si>
  <si>
    <t xml:space="preserve">Часов работы в неделю</t>
  </si>
  <si>
    <t xml:space="preserve">Выпечка + упаковка + закупка + чат и доставка</t>
  </si>
  <si>
    <t xml:space="preserve">Часов в день при 5 рабочих днях</t>
  </si>
  <si>
    <t xml:space="preserve">Заработок за 1 час работы, тг</t>
  </si>
  <si>
    <t xml:space="preserve">Окупаемость стартовых вложений, недель</t>
  </si>
  <si>
    <t xml:space="preserve">Допущения</t>
  </si>
  <si>
    <t xml:space="preserve">Домов в посёлке</t>
  </si>
  <si>
    <t xml:space="preserve">Данные пользователя</t>
  </si>
  <si>
    <t xml:space="preserve">Недель в месяце</t>
  </si>
  <si>
    <t xml:space="preserve">Среднее</t>
  </si>
  <si>
    <t xml:space="preserve">Свет и газ на выпечку, тг в месяц</t>
  </si>
  <si>
    <t xml:space="preserve">Оценка: ~25 кВт·ч в месяц на орешницу и вафельницу + духовка</t>
  </si>
  <si>
    <t xml:space="preserve">Пробники и брак, доля выручки</t>
  </si>
  <si>
    <t xml:space="preserve">Первые месяцы — бесплатные пробы для соседей</t>
  </si>
  <si>
    <t xml:space="preserve">Налог самозанятого, доля выручки</t>
  </si>
  <si>
    <t xml:space="preserve">Режим самозанятых с 01.01.2026: 4% с дохода. Проверить, входит ли выпечка в перечень видов деятельности</t>
  </si>
  <si>
    <t xml:space="preserve">Часов на 1 набор орешков (12 шт)</t>
  </si>
  <si>
    <t xml:space="preserve">Партия 50 шт ≈ 3 ч: тесто, выпекание, начинка</t>
  </si>
  <si>
    <t xml:space="preserve">Часов на 1 набор трубочек (10 шт)</t>
  </si>
  <si>
    <t xml:space="preserve">Партия 30 шт ≈ 2,5 ч</t>
  </si>
  <si>
    <t xml:space="preserve">Часов на 1 шарлотку</t>
  </si>
  <si>
    <t xml:space="preserve">2 пирога в духовке одновременно</t>
  </si>
  <si>
    <t xml:space="preserve">Часов в неделю на закупку</t>
  </si>
  <si>
    <t xml:space="preserve">Одна поездка в магазин</t>
  </si>
  <si>
    <t xml:space="preserve">Часов на 1 продажу: переписка и доставка</t>
  </si>
  <si>
    <t xml:space="preserve">По посёлку пешком или на машине</t>
  </si>
  <si>
    <t xml:space="preserve">Стартовые вложения</t>
  </si>
  <si>
    <t xml:space="preserve">Что купить</t>
  </si>
  <si>
    <t xml:space="preserve">Цена, тг</t>
  </si>
  <si>
    <t xml:space="preserve">Сумма, тг</t>
  </si>
  <si>
    <t xml:space="preserve">Комментарий</t>
  </si>
  <si>
    <t xml:space="preserve">Орешница электрическая (16 половинок за цикл)</t>
  </si>
  <si>
    <t xml:space="preserve">Антипригарное покрытие, терморегулятор. Электро удобнее газовой: ровный нагрев, не нужно переворачивать</t>
  </si>
  <si>
    <t xml:space="preserve">Вафельница электрическая для тонких вафель</t>
  </si>
  <si>
    <t xml:space="preserve">Тонкие вафли «как в детстве», их можно свернуть в трубочку</t>
  </si>
  <si>
    <t xml:space="preserve">Разъёмная форма 26 см</t>
  </si>
  <si>
    <t xml:space="preserve">Две формы — два пирога за одну закладку в духовку</t>
  </si>
  <si>
    <t xml:space="preserve">Кухонные весы</t>
  </si>
  <si>
    <t xml:space="preserve">Точная рецептура = стабильный вкус и себестоимость</t>
  </si>
  <si>
    <t xml:space="preserve">Конусы для трубочек, кондитерский мешок, лопатки</t>
  </si>
  <si>
    <t xml:space="preserve">Упаковка на старт: коробки и наклейки</t>
  </si>
  <si>
    <t xml:space="preserve">~40 крафт-коробок + 10 коробок для пирогов + наклейки</t>
  </si>
  <si>
    <t xml:space="preserve">Пробные партии (отработка рецептов, дегустация соседям)</t>
  </si>
  <si>
    <t xml:space="preserve">2–3 пробные партии каждого вида</t>
  </si>
  <si>
    <t xml:space="preserve">Итого стартовых вложений</t>
  </si>
  <si>
    <t xml:space="preserve">Миксер, духовка, посуда — считаем, что уже есть. Цены техники — ориентир по Kaspi/маркетплейсам, проверить перед покупкой.</t>
  </si>
  <si>
    <t xml:space="preserve">Журнал продаж</t>
  </si>
  <si>
    <t xml:space="preserve">Каждая продажа — одна строка. Товар выбирайте из списка, цена подставится сама. Строка 5 — пример.</t>
  </si>
  <si>
    <t xml:space="preserve">Дата</t>
  </si>
  <si>
    <t xml:space="preserve">Дом / имя</t>
  </si>
  <si>
    <t xml:space="preserve">Товар</t>
  </si>
  <si>
    <t xml:space="preserve">Оплата</t>
  </si>
  <si>
    <t xml:space="preserve">Доставка</t>
  </si>
  <si>
    <t xml:space="preserve">Отзыв</t>
  </si>
  <si>
    <t xml:space="preserve">Итоги</t>
  </si>
  <si>
    <t xml:space="preserve">Дом 42, Айгерим</t>
  </si>
  <si>
    <t xml:space="preserve">Kaspi</t>
  </si>
  <si>
    <t xml:space="preserve">Просила ещё в субботу</t>
  </si>
  <si>
    <t xml:space="preserve">Выручка всего, тг</t>
  </si>
  <si>
    <t xml:space="preserve">Продаж всего</t>
  </si>
  <si>
    <t xml:space="preserve">Остаётся с продаж (по марже), тг</t>
  </si>
  <si>
    <t xml:space="preserve">Продано наборов по товарам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</si>
</sst>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тг&quot;;\-#,##0&quot; тг&quot;;\-"/>
    <numFmt numFmtId="166" formatCode="0.00"/>
    <numFmt numFmtId="167" formatCode="0"/>
    <numFmt numFmtId="168" formatCode="0.0%"/>
    <numFmt numFmtId="169" formatCode="0.0"/>
    <numFmt numFmtId="170" formatCode="dd\.mm\.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F6D7A"/>
        <bgColor rgb="FF808080"/>
      </patternFill>
    </fill>
    <fill>
      <patternFill patternType="solid">
        <fgColor rgb="FFE8EE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8EE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6D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4" min="3" style="0" width="18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48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6" t="s">
        <v>15</v>
      </c>
    </row>
    <row r="4" customFormat="false" ht="26.85" hidden="false" customHeight="false" outlineLevel="0" collapsed="false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</row>
    <row r="5" customFormat="false" ht="15" hidden="false" customHeight="false" outlineLevel="0" collapsed="false">
      <c r="A5" s="8" t="s">
        <v>23</v>
      </c>
      <c r="B5" s="8" t="s">
        <v>24</v>
      </c>
      <c r="C5" s="9" t="n">
        <v>800</v>
      </c>
      <c r="D5" s="10" t="n">
        <v>2</v>
      </c>
      <c r="E5" s="8" t="s">
        <v>25</v>
      </c>
      <c r="F5" s="11" t="n">
        <f aca="false">C5/D5</f>
        <v>400</v>
      </c>
      <c r="G5" s="8" t="s">
        <v>26</v>
      </c>
    </row>
    <row r="6" customFormat="false" ht="15" hidden="false" customHeight="false" outlineLevel="0" collapsed="false">
      <c r="A6" s="8" t="s">
        <v>27</v>
      </c>
      <c r="B6" s="8" t="s">
        <v>28</v>
      </c>
      <c r="C6" s="9" t="n">
        <v>500</v>
      </c>
      <c r="D6" s="10" t="n">
        <v>1</v>
      </c>
      <c r="E6" s="8" t="s">
        <v>25</v>
      </c>
      <c r="F6" s="11" t="n">
        <f aca="false">C6/D6</f>
        <v>500</v>
      </c>
      <c r="G6" s="8" t="s">
        <v>29</v>
      </c>
    </row>
    <row r="7" customFormat="false" ht="15" hidden="false" customHeight="false" outlineLevel="0" collapsed="false">
      <c r="A7" s="8" t="s">
        <v>30</v>
      </c>
      <c r="B7" s="8" t="s">
        <v>31</v>
      </c>
      <c r="C7" s="9" t="n">
        <v>650</v>
      </c>
      <c r="D7" s="10" t="n">
        <v>10</v>
      </c>
      <c r="E7" s="8" t="s">
        <v>32</v>
      </c>
      <c r="F7" s="11" t="n">
        <f aca="false">C7/D7</f>
        <v>65</v>
      </c>
      <c r="G7" s="8" t="s">
        <v>33</v>
      </c>
    </row>
    <row r="8" customFormat="false" ht="15" hidden="false" customHeight="false" outlineLevel="0" collapsed="false">
      <c r="A8" s="8" t="s">
        <v>34</v>
      </c>
      <c r="B8" s="8" t="s">
        <v>35</v>
      </c>
      <c r="C8" s="9" t="n">
        <v>650</v>
      </c>
      <c r="D8" s="10" t="n">
        <v>0.18</v>
      </c>
      <c r="E8" s="8" t="s">
        <v>25</v>
      </c>
      <c r="F8" s="11" t="n">
        <f aca="false">C8/D8</f>
        <v>3611.11111111111</v>
      </c>
      <c r="G8" s="8" t="s">
        <v>36</v>
      </c>
    </row>
    <row r="9" customFormat="false" ht="15" hidden="false" customHeight="false" outlineLevel="0" collapsed="false">
      <c r="A9" s="8" t="s">
        <v>37</v>
      </c>
      <c r="B9" s="8" t="s">
        <v>38</v>
      </c>
      <c r="C9" s="9" t="n">
        <v>400</v>
      </c>
      <c r="D9" s="10" t="n">
        <v>0.25</v>
      </c>
      <c r="E9" s="8" t="s">
        <v>25</v>
      </c>
      <c r="F9" s="11" t="n">
        <f aca="false">C9/D9</f>
        <v>1600</v>
      </c>
      <c r="G9" s="8" t="s">
        <v>29</v>
      </c>
    </row>
    <row r="10" customFormat="false" ht="15" hidden="false" customHeight="false" outlineLevel="0" collapsed="false">
      <c r="A10" s="8" t="s">
        <v>39</v>
      </c>
      <c r="B10" s="8" t="s">
        <v>40</v>
      </c>
      <c r="C10" s="9" t="n">
        <v>750</v>
      </c>
      <c r="D10" s="10" t="n">
        <v>1</v>
      </c>
      <c r="E10" s="8" t="s">
        <v>41</v>
      </c>
      <c r="F10" s="11" t="n">
        <f aca="false">C10/D10</f>
        <v>750</v>
      </c>
      <c r="G10" s="8" t="s">
        <v>29</v>
      </c>
    </row>
    <row r="11" customFormat="false" ht="15" hidden="false" customHeight="false" outlineLevel="0" collapsed="false">
      <c r="A11" s="8" t="s">
        <v>42</v>
      </c>
      <c r="B11" s="8" t="s">
        <v>25</v>
      </c>
      <c r="C11" s="9" t="n">
        <v>350</v>
      </c>
      <c r="D11" s="10" t="n">
        <v>1</v>
      </c>
      <c r="E11" s="8" t="s">
        <v>25</v>
      </c>
      <c r="F11" s="11" t="n">
        <f aca="false">C11/D11</f>
        <v>350</v>
      </c>
      <c r="G11" s="8" t="s">
        <v>43</v>
      </c>
    </row>
    <row r="12" customFormat="false" ht="15" hidden="false" customHeight="false" outlineLevel="0" collapsed="false">
      <c r="A12" s="8" t="s">
        <v>44</v>
      </c>
      <c r="B12" s="8" t="s">
        <v>45</v>
      </c>
      <c r="C12" s="9" t="n">
        <v>60</v>
      </c>
      <c r="D12" s="10" t="n">
        <v>1</v>
      </c>
      <c r="E12" s="8" t="s">
        <v>46</v>
      </c>
      <c r="F12" s="11" t="n">
        <f aca="false">C12/D12</f>
        <v>60</v>
      </c>
      <c r="G12" s="8" t="s">
        <v>47</v>
      </c>
    </row>
    <row r="13" customFormat="false" ht="15" hidden="false" customHeight="false" outlineLevel="0" collapsed="false">
      <c r="A13" s="8" t="s">
        <v>48</v>
      </c>
      <c r="B13" s="8" t="s">
        <v>49</v>
      </c>
      <c r="C13" s="9" t="n">
        <v>30</v>
      </c>
      <c r="D13" s="10" t="n">
        <v>1</v>
      </c>
      <c r="E13" s="8" t="s">
        <v>32</v>
      </c>
      <c r="F13" s="11" t="n">
        <f aca="false">C13/D13</f>
        <v>30</v>
      </c>
      <c r="G13" s="8" t="s">
        <v>47</v>
      </c>
    </row>
    <row r="14" customFormat="false" ht="15" hidden="false" customHeight="false" outlineLevel="0" collapsed="false">
      <c r="A14" s="8" t="s">
        <v>50</v>
      </c>
      <c r="B14" s="8" t="s">
        <v>32</v>
      </c>
      <c r="C14" s="9" t="n">
        <v>350</v>
      </c>
      <c r="D14" s="10" t="n">
        <v>1</v>
      </c>
      <c r="E14" s="8" t="s">
        <v>32</v>
      </c>
      <c r="F14" s="11" t="n">
        <f aca="false">C14/D14</f>
        <v>350</v>
      </c>
      <c r="G14" s="8" t="s">
        <v>51</v>
      </c>
    </row>
    <row r="15" customFormat="false" ht="15" hidden="false" customHeight="false" outlineLevel="0" collapsed="false">
      <c r="A15" s="8" t="s">
        <v>52</v>
      </c>
      <c r="B15" s="8" t="s">
        <v>32</v>
      </c>
      <c r="C15" s="9" t="n">
        <v>150</v>
      </c>
      <c r="D15" s="10" t="n">
        <v>1</v>
      </c>
      <c r="E15" s="8" t="s">
        <v>32</v>
      </c>
      <c r="F15" s="11" t="n">
        <f aca="false">C15/D15</f>
        <v>150</v>
      </c>
      <c r="G15" s="8" t="s">
        <v>51</v>
      </c>
    </row>
    <row r="16" customFormat="false" ht="15" hidden="false" customHeight="false" outlineLevel="0" collapsed="false">
      <c r="A16" s="8" t="s">
        <v>53</v>
      </c>
      <c r="B16" s="8" t="s">
        <v>32</v>
      </c>
      <c r="C16" s="9" t="n">
        <v>20</v>
      </c>
      <c r="D16" s="10" t="n">
        <v>1</v>
      </c>
      <c r="E16" s="8" t="s">
        <v>32</v>
      </c>
      <c r="F16" s="11" t="n">
        <f aca="false">C16/D16</f>
        <v>20</v>
      </c>
      <c r="G16" s="8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6" t="s">
        <v>55</v>
      </c>
    </row>
    <row r="3" customFormat="false" ht="15" hidden="false" customHeight="false" outlineLevel="0" collapsed="false">
      <c r="A3" s="12" t="s">
        <v>56</v>
      </c>
    </row>
    <row r="4" customFormat="false" ht="15" hidden="false" customHeight="false" outlineLevel="0" collapsed="false">
      <c r="A4" s="13" t="s">
        <v>57</v>
      </c>
    </row>
    <row r="5" customFormat="false" ht="15" hidden="false" customHeight="false" outlineLevel="0" collapsed="false">
      <c r="A5" s="7" t="s">
        <v>58</v>
      </c>
      <c r="B5" s="7" t="s">
        <v>59</v>
      </c>
      <c r="C5" s="7" t="s">
        <v>20</v>
      </c>
      <c r="D5" s="7" t="s">
        <v>21</v>
      </c>
      <c r="E5" s="7" t="s">
        <v>60</v>
      </c>
    </row>
    <row r="6" customFormat="false" ht="15" hidden="false" customHeight="false" outlineLevel="0" collapsed="false">
      <c r="A6" s="8" t="s">
        <v>23</v>
      </c>
      <c r="B6" s="10" t="n">
        <v>0.45</v>
      </c>
      <c r="C6" s="14" t="str">
        <f aca="false">INDEX('Цены продуктов'!$E$5:$E$16,MATCH(A6,'Цены продуктов'!$A$5:$A$16,0))</f>
        <v>кг</v>
      </c>
      <c r="D6" s="15" t="n">
        <f aca="false">INDEX('Цены продуктов'!$F$5:$F$16,MATCH(A6,'Цены продуктов'!$A$5:$A$16,0))</f>
        <v>400</v>
      </c>
      <c r="E6" s="11" t="n">
        <f aca="false">B6*D6</f>
        <v>180</v>
      </c>
    </row>
    <row r="7" customFormat="false" ht="15" hidden="false" customHeight="false" outlineLevel="0" collapsed="false">
      <c r="A7" s="8" t="s">
        <v>34</v>
      </c>
      <c r="B7" s="10" t="n">
        <v>0.2</v>
      </c>
      <c r="C7" s="14" t="str">
        <f aca="false">INDEX('Цены продуктов'!$E$5:$E$16,MATCH(A7,'Цены продуктов'!$A$5:$A$16,0))</f>
        <v>кг</v>
      </c>
      <c r="D7" s="15" t="n">
        <f aca="false">INDEX('Цены продуктов'!$F$5:$F$16,MATCH(A7,'Цены продуктов'!$A$5:$A$16,0))</f>
        <v>3611.11111111111</v>
      </c>
      <c r="E7" s="11" t="n">
        <f aca="false">B7*D7</f>
        <v>722.222222222222</v>
      </c>
    </row>
    <row r="8" customFormat="false" ht="15" hidden="false" customHeight="false" outlineLevel="0" collapsed="false">
      <c r="A8" s="8" t="s">
        <v>30</v>
      </c>
      <c r="B8" s="10" t="n">
        <v>2</v>
      </c>
      <c r="C8" s="14" t="str">
        <f aca="false">INDEX('Цены продуктов'!$E$5:$E$16,MATCH(A8,'Цены продуктов'!$A$5:$A$16,0))</f>
        <v>шт</v>
      </c>
      <c r="D8" s="15" t="n">
        <f aca="false">INDEX('Цены продуктов'!$F$5:$F$16,MATCH(A8,'Цены продуктов'!$A$5:$A$16,0))</f>
        <v>65</v>
      </c>
      <c r="E8" s="11" t="n">
        <f aca="false">B8*D8</f>
        <v>130</v>
      </c>
    </row>
    <row r="9" customFormat="false" ht="15" hidden="false" customHeight="false" outlineLevel="0" collapsed="false">
      <c r="A9" s="8" t="s">
        <v>27</v>
      </c>
      <c r="B9" s="10" t="n">
        <v>0.15</v>
      </c>
      <c r="C9" s="14" t="str">
        <f aca="false">INDEX('Цены продуктов'!$E$5:$E$16,MATCH(A9,'Цены продуктов'!$A$5:$A$16,0))</f>
        <v>кг</v>
      </c>
      <c r="D9" s="15" t="n">
        <f aca="false">INDEX('Цены продуктов'!$F$5:$F$16,MATCH(A9,'Цены продуктов'!$A$5:$A$16,0))</f>
        <v>500</v>
      </c>
      <c r="E9" s="11" t="n">
        <f aca="false">B9*D9</f>
        <v>75</v>
      </c>
    </row>
    <row r="10" customFormat="false" ht="15" hidden="false" customHeight="false" outlineLevel="0" collapsed="false">
      <c r="A10" s="8" t="s">
        <v>44</v>
      </c>
      <c r="B10" s="10" t="n">
        <v>1</v>
      </c>
      <c r="C10" s="14" t="str">
        <f aca="false">INDEX('Цены продуктов'!$E$5:$E$16,MATCH(A10,'Цены продуктов'!$A$5:$A$16,0))</f>
        <v>партия</v>
      </c>
      <c r="D10" s="15" t="n">
        <f aca="false">INDEX('Цены продуктов'!$F$5:$F$16,MATCH(A10,'Цены продуктов'!$A$5:$A$16,0))</f>
        <v>60</v>
      </c>
      <c r="E10" s="11" t="n">
        <f aca="false">B10*D10</f>
        <v>60</v>
      </c>
    </row>
    <row r="11" customFormat="false" ht="15" hidden="false" customHeight="false" outlineLevel="0" collapsed="false">
      <c r="A11" s="8" t="s">
        <v>39</v>
      </c>
      <c r="B11" s="10" t="n">
        <v>1.5</v>
      </c>
      <c r="C11" s="14" t="str">
        <f aca="false">INDEX('Цены продуктов'!$E$5:$E$16,MATCH(A11,'Цены продуктов'!$A$5:$A$16,0))</f>
        <v>банка</v>
      </c>
      <c r="D11" s="15" t="n">
        <f aca="false">INDEX('Цены продуктов'!$F$5:$F$16,MATCH(A11,'Цены продуктов'!$A$5:$A$16,0))</f>
        <v>750</v>
      </c>
      <c r="E11" s="11" t="n">
        <f aca="false">B11*D11</f>
        <v>1125</v>
      </c>
    </row>
    <row r="12" customFormat="false" ht="15" hidden="false" customHeight="false" outlineLevel="0" collapsed="false">
      <c r="A12" s="8" t="s">
        <v>34</v>
      </c>
      <c r="B12" s="10" t="n">
        <v>0.05</v>
      </c>
      <c r="C12" s="14" t="str">
        <f aca="false">INDEX('Цены продуктов'!$E$5:$E$16,MATCH(A12,'Цены продуктов'!$A$5:$A$16,0))</f>
        <v>кг</v>
      </c>
      <c r="D12" s="15" t="n">
        <f aca="false">INDEX('Цены продуктов'!$F$5:$F$16,MATCH(A12,'Цены продуктов'!$A$5:$A$16,0))</f>
        <v>3611.11111111111</v>
      </c>
      <c r="E12" s="11" t="n">
        <f aca="false">B12*D12</f>
        <v>180.555555555556</v>
      </c>
    </row>
    <row r="13" customFormat="false" ht="15" hidden="false" customHeight="false" outlineLevel="0" collapsed="false">
      <c r="A13" s="16" t="s">
        <v>61</v>
      </c>
      <c r="E13" s="17" t="n">
        <f aca="false">SUM(E6:E12)</f>
        <v>2472.77777777778</v>
      </c>
    </row>
    <row r="14" customFormat="false" ht="15" hidden="false" customHeight="false" outlineLevel="0" collapsed="false">
      <c r="A14" s="8" t="s">
        <v>62</v>
      </c>
      <c r="B14" s="18" t="n">
        <v>50</v>
      </c>
    </row>
    <row r="15" customFormat="false" ht="15" hidden="false" customHeight="false" outlineLevel="0" collapsed="false">
      <c r="A15" s="16" t="s">
        <v>63</v>
      </c>
      <c r="E15" s="17" t="n">
        <f aca="false">E13/B14</f>
        <v>49.4555555555556</v>
      </c>
    </row>
    <row r="17" customFormat="false" ht="15" hidden="false" customHeight="false" outlineLevel="0" collapsed="false">
      <c r="A17" s="13" t="s">
        <v>64</v>
      </c>
    </row>
    <row r="18" customFormat="false" ht="15" hidden="false" customHeight="false" outlineLevel="0" collapsed="false">
      <c r="A18" s="7" t="s">
        <v>58</v>
      </c>
      <c r="B18" s="7" t="s">
        <v>59</v>
      </c>
      <c r="C18" s="7" t="s">
        <v>20</v>
      </c>
      <c r="D18" s="7" t="s">
        <v>21</v>
      </c>
      <c r="E18" s="7" t="s">
        <v>60</v>
      </c>
    </row>
    <row r="19" customFormat="false" ht="15" hidden="false" customHeight="false" outlineLevel="0" collapsed="false">
      <c r="A19" s="8" t="s">
        <v>23</v>
      </c>
      <c r="B19" s="10" t="n">
        <v>0.25</v>
      </c>
      <c r="C19" s="14" t="str">
        <f aca="false">INDEX('Цены продуктов'!$E$5:$E$16,MATCH(A19,'Цены продуктов'!$A$5:$A$16,0))</f>
        <v>кг</v>
      </c>
      <c r="D19" s="15" t="n">
        <f aca="false">INDEX('Цены продуктов'!$F$5:$F$16,MATCH(A19,'Цены продуктов'!$A$5:$A$16,0))</f>
        <v>400</v>
      </c>
      <c r="E19" s="11" t="n">
        <f aca="false">B19*D19</f>
        <v>100</v>
      </c>
    </row>
    <row r="20" customFormat="false" ht="15" hidden="false" customHeight="false" outlineLevel="0" collapsed="false">
      <c r="A20" s="8" t="s">
        <v>37</v>
      </c>
      <c r="B20" s="10" t="n">
        <v>0.2</v>
      </c>
      <c r="C20" s="14" t="str">
        <f aca="false">INDEX('Цены продуктов'!$E$5:$E$16,MATCH(A20,'Цены продуктов'!$A$5:$A$16,0))</f>
        <v>кг</v>
      </c>
      <c r="D20" s="15" t="n">
        <f aca="false">INDEX('Цены продуктов'!$F$5:$F$16,MATCH(A20,'Цены продуктов'!$A$5:$A$16,0))</f>
        <v>1600</v>
      </c>
      <c r="E20" s="11" t="n">
        <f aca="false">B20*D20</f>
        <v>320</v>
      </c>
    </row>
    <row r="21" customFormat="false" ht="15" hidden="false" customHeight="false" outlineLevel="0" collapsed="false">
      <c r="A21" s="8" t="s">
        <v>30</v>
      </c>
      <c r="B21" s="10" t="n">
        <v>5</v>
      </c>
      <c r="C21" s="14" t="str">
        <f aca="false">INDEX('Цены продуктов'!$E$5:$E$16,MATCH(A21,'Цены продуктов'!$A$5:$A$16,0))</f>
        <v>шт</v>
      </c>
      <c r="D21" s="15" t="n">
        <f aca="false">INDEX('Цены продуктов'!$F$5:$F$16,MATCH(A21,'Цены продуктов'!$A$5:$A$16,0))</f>
        <v>65</v>
      </c>
      <c r="E21" s="11" t="n">
        <f aca="false">B21*D21</f>
        <v>325</v>
      </c>
    </row>
    <row r="22" customFormat="false" ht="15" hidden="false" customHeight="false" outlineLevel="0" collapsed="false">
      <c r="A22" s="8" t="s">
        <v>27</v>
      </c>
      <c r="B22" s="10" t="n">
        <v>0.2</v>
      </c>
      <c r="C22" s="14" t="str">
        <f aca="false">INDEX('Цены продуктов'!$E$5:$E$16,MATCH(A22,'Цены продуктов'!$A$5:$A$16,0))</f>
        <v>кг</v>
      </c>
      <c r="D22" s="15" t="n">
        <f aca="false">INDEX('Цены продуктов'!$F$5:$F$16,MATCH(A22,'Цены продуктов'!$A$5:$A$16,0))</f>
        <v>500</v>
      </c>
      <c r="E22" s="11" t="n">
        <f aca="false">B22*D22</f>
        <v>100</v>
      </c>
    </row>
    <row r="23" customFormat="false" ht="15" hidden="false" customHeight="false" outlineLevel="0" collapsed="false">
      <c r="A23" s="8" t="s">
        <v>44</v>
      </c>
      <c r="B23" s="10" t="n">
        <v>1</v>
      </c>
      <c r="C23" s="14" t="str">
        <f aca="false">INDEX('Цены продуктов'!$E$5:$E$16,MATCH(A23,'Цены продуктов'!$A$5:$A$16,0))</f>
        <v>партия</v>
      </c>
      <c r="D23" s="15" t="n">
        <f aca="false">INDEX('Цены продуктов'!$F$5:$F$16,MATCH(A23,'Цены продуктов'!$A$5:$A$16,0))</f>
        <v>60</v>
      </c>
      <c r="E23" s="11" t="n">
        <f aca="false">B23*D23</f>
        <v>60</v>
      </c>
    </row>
    <row r="24" customFormat="false" ht="15" hidden="false" customHeight="false" outlineLevel="0" collapsed="false">
      <c r="A24" s="8" t="s">
        <v>39</v>
      </c>
      <c r="B24" s="10" t="n">
        <v>1.5</v>
      </c>
      <c r="C24" s="14" t="str">
        <f aca="false">INDEX('Цены продуктов'!$E$5:$E$16,MATCH(A24,'Цены продуктов'!$A$5:$A$16,0))</f>
        <v>банка</v>
      </c>
      <c r="D24" s="15" t="n">
        <f aca="false">INDEX('Цены продуктов'!$F$5:$F$16,MATCH(A24,'Цены продуктов'!$A$5:$A$16,0))</f>
        <v>750</v>
      </c>
      <c r="E24" s="11" t="n">
        <f aca="false">B24*D24</f>
        <v>1125</v>
      </c>
    </row>
    <row r="25" customFormat="false" ht="15" hidden="false" customHeight="false" outlineLevel="0" collapsed="false">
      <c r="A25" s="8" t="s">
        <v>34</v>
      </c>
      <c r="B25" s="10" t="n">
        <v>0.05</v>
      </c>
      <c r="C25" s="14" t="str">
        <f aca="false">INDEX('Цены продуктов'!$E$5:$E$16,MATCH(A25,'Цены продуктов'!$A$5:$A$16,0))</f>
        <v>кг</v>
      </c>
      <c r="D25" s="15" t="n">
        <f aca="false">INDEX('Цены продуктов'!$F$5:$F$16,MATCH(A25,'Цены продуктов'!$A$5:$A$16,0))</f>
        <v>3611.11111111111</v>
      </c>
      <c r="E25" s="11" t="n">
        <f aca="false">B25*D25</f>
        <v>180.555555555556</v>
      </c>
    </row>
    <row r="26" customFormat="false" ht="15" hidden="false" customHeight="false" outlineLevel="0" collapsed="false">
      <c r="A26" s="16" t="s">
        <v>61</v>
      </c>
      <c r="E26" s="17" t="n">
        <f aca="false">SUM(E19:E25)</f>
        <v>2210.55555555556</v>
      </c>
    </row>
    <row r="27" customFormat="false" ht="15" hidden="false" customHeight="false" outlineLevel="0" collapsed="false">
      <c r="A27" s="8" t="s">
        <v>65</v>
      </c>
      <c r="B27" s="18" t="n">
        <v>30</v>
      </c>
    </row>
    <row r="28" customFormat="false" ht="15" hidden="false" customHeight="false" outlineLevel="0" collapsed="false">
      <c r="A28" s="16" t="s">
        <v>63</v>
      </c>
      <c r="E28" s="17" t="n">
        <f aca="false">E26/B27</f>
        <v>73.6851851851852</v>
      </c>
    </row>
    <row r="30" customFormat="false" ht="15" hidden="false" customHeight="false" outlineLevel="0" collapsed="false">
      <c r="A30" s="13" t="s">
        <v>66</v>
      </c>
    </row>
    <row r="31" customFormat="false" ht="15" hidden="false" customHeight="false" outlineLevel="0" collapsed="false">
      <c r="A31" s="7" t="s">
        <v>58</v>
      </c>
      <c r="B31" s="7" t="s">
        <v>59</v>
      </c>
      <c r="C31" s="7" t="s">
        <v>20</v>
      </c>
      <c r="D31" s="7" t="s">
        <v>21</v>
      </c>
      <c r="E31" s="7" t="s">
        <v>60</v>
      </c>
    </row>
    <row r="32" customFormat="false" ht="15" hidden="false" customHeight="false" outlineLevel="0" collapsed="false">
      <c r="A32" s="8" t="s">
        <v>30</v>
      </c>
      <c r="B32" s="10" t="n">
        <v>5</v>
      </c>
      <c r="C32" s="14" t="str">
        <f aca="false">INDEX('Цены продуктов'!$E$5:$E$16,MATCH(A32,'Цены продуктов'!$A$5:$A$16,0))</f>
        <v>шт</v>
      </c>
      <c r="D32" s="15" t="n">
        <f aca="false">INDEX('Цены продуктов'!$F$5:$F$16,MATCH(A32,'Цены продуктов'!$A$5:$A$16,0))</f>
        <v>65</v>
      </c>
      <c r="E32" s="11" t="n">
        <f aca="false">B32*D32</f>
        <v>325</v>
      </c>
    </row>
    <row r="33" customFormat="false" ht="15" hidden="false" customHeight="false" outlineLevel="0" collapsed="false">
      <c r="A33" s="8" t="s">
        <v>27</v>
      </c>
      <c r="B33" s="10" t="n">
        <v>0.2</v>
      </c>
      <c r="C33" s="14" t="str">
        <f aca="false">INDEX('Цены продуктов'!$E$5:$E$16,MATCH(A33,'Цены продуктов'!$A$5:$A$16,0))</f>
        <v>кг</v>
      </c>
      <c r="D33" s="15" t="n">
        <f aca="false">INDEX('Цены продуктов'!$F$5:$F$16,MATCH(A33,'Цены продуктов'!$A$5:$A$16,0))</f>
        <v>500</v>
      </c>
      <c r="E33" s="11" t="n">
        <f aca="false">B33*D33</f>
        <v>100</v>
      </c>
    </row>
    <row r="34" customFormat="false" ht="15" hidden="false" customHeight="false" outlineLevel="0" collapsed="false">
      <c r="A34" s="8" t="s">
        <v>23</v>
      </c>
      <c r="B34" s="10" t="n">
        <v>0.2</v>
      </c>
      <c r="C34" s="14" t="str">
        <f aca="false">INDEX('Цены продуктов'!$E$5:$E$16,MATCH(A34,'Цены продуктов'!$A$5:$A$16,0))</f>
        <v>кг</v>
      </c>
      <c r="D34" s="15" t="n">
        <f aca="false">INDEX('Цены продуктов'!$F$5:$F$16,MATCH(A34,'Цены продуктов'!$A$5:$A$16,0))</f>
        <v>400</v>
      </c>
      <c r="E34" s="11" t="n">
        <f aca="false">B34*D34</f>
        <v>80</v>
      </c>
    </row>
    <row r="35" customFormat="false" ht="15" hidden="false" customHeight="false" outlineLevel="0" collapsed="false">
      <c r="A35" s="8" t="s">
        <v>42</v>
      </c>
      <c r="B35" s="10" t="n">
        <v>0.8</v>
      </c>
      <c r="C35" s="14" t="str">
        <f aca="false">INDEX('Цены продуктов'!$E$5:$E$16,MATCH(A35,'Цены продуктов'!$A$5:$A$16,0))</f>
        <v>кг</v>
      </c>
      <c r="D35" s="15" t="n">
        <f aca="false">INDEX('Цены продуктов'!$F$5:$F$16,MATCH(A35,'Цены продуктов'!$A$5:$A$16,0))</f>
        <v>350</v>
      </c>
      <c r="E35" s="11" t="n">
        <f aca="false">B35*D35</f>
        <v>280</v>
      </c>
    </row>
    <row r="36" customFormat="false" ht="15" hidden="false" customHeight="false" outlineLevel="0" collapsed="false">
      <c r="A36" s="8" t="s">
        <v>34</v>
      </c>
      <c r="B36" s="10" t="n">
        <v>0.01</v>
      </c>
      <c r="C36" s="14" t="str">
        <f aca="false">INDEX('Цены продуктов'!$E$5:$E$16,MATCH(A36,'Цены продуктов'!$A$5:$A$16,0))</f>
        <v>кг</v>
      </c>
      <c r="D36" s="15" t="n">
        <f aca="false">INDEX('Цены продуктов'!$F$5:$F$16,MATCH(A36,'Цены продуктов'!$A$5:$A$16,0))</f>
        <v>3611.11111111111</v>
      </c>
      <c r="E36" s="11" t="n">
        <f aca="false">B36*D36</f>
        <v>36.1111111111111</v>
      </c>
    </row>
    <row r="37" customFormat="false" ht="15" hidden="false" customHeight="false" outlineLevel="0" collapsed="false">
      <c r="A37" s="8" t="s">
        <v>44</v>
      </c>
      <c r="B37" s="10" t="n">
        <v>0.5</v>
      </c>
      <c r="C37" s="14" t="str">
        <f aca="false">INDEX('Цены продуктов'!$E$5:$E$16,MATCH(A37,'Цены продуктов'!$A$5:$A$16,0))</f>
        <v>партия</v>
      </c>
      <c r="D37" s="15" t="n">
        <f aca="false">INDEX('Цены продуктов'!$F$5:$F$16,MATCH(A37,'Цены продуктов'!$A$5:$A$16,0))</f>
        <v>60</v>
      </c>
      <c r="E37" s="11" t="n">
        <f aca="false">B37*D37</f>
        <v>30</v>
      </c>
    </row>
    <row r="38" customFormat="false" ht="15" hidden="false" customHeight="false" outlineLevel="0" collapsed="false">
      <c r="A38" s="8" t="s">
        <v>48</v>
      </c>
      <c r="B38" s="10" t="n">
        <v>1</v>
      </c>
      <c r="C38" s="14" t="str">
        <f aca="false">INDEX('Цены продуктов'!$E$5:$E$16,MATCH(A38,'Цены продуктов'!$A$5:$A$16,0))</f>
        <v>шт</v>
      </c>
      <c r="D38" s="15" t="n">
        <f aca="false">INDEX('Цены продуктов'!$F$5:$F$16,MATCH(A38,'Цены продуктов'!$A$5:$A$16,0))</f>
        <v>30</v>
      </c>
      <c r="E38" s="11" t="n">
        <f aca="false">B38*D38</f>
        <v>30</v>
      </c>
    </row>
    <row r="39" customFormat="false" ht="15" hidden="false" customHeight="false" outlineLevel="0" collapsed="false">
      <c r="A39" s="16" t="s">
        <v>61</v>
      </c>
      <c r="E39" s="17" t="n">
        <f aca="false">SUM(E32:E38)</f>
        <v>881.111111111111</v>
      </c>
    </row>
    <row r="40" customFormat="false" ht="15" hidden="false" customHeight="false" outlineLevel="0" collapsed="false">
      <c r="A40" s="8" t="s">
        <v>67</v>
      </c>
      <c r="B40" s="18" t="n">
        <v>1</v>
      </c>
    </row>
    <row r="41" customFormat="false" ht="15" hidden="false" customHeight="false" outlineLevel="0" collapsed="false">
      <c r="A41" s="16" t="s">
        <v>63</v>
      </c>
      <c r="E41" s="17" t="n">
        <f aca="false">E39/B40</f>
        <v>881.111111111111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68</v>
      </c>
    </row>
    <row r="3" customFormat="false" ht="39.55" hidden="false" customHeight="false" outlineLevel="0" collapsed="false">
      <c r="A3" s="7" t="s">
        <v>69</v>
      </c>
      <c r="B3" s="7" t="s">
        <v>70</v>
      </c>
      <c r="C3" s="7" t="s">
        <v>71</v>
      </c>
      <c r="D3" s="7" t="s">
        <v>72</v>
      </c>
      <c r="E3" s="7" t="s">
        <v>17</v>
      </c>
      <c r="F3" s="7" t="s">
        <v>73</v>
      </c>
      <c r="G3" s="7" t="s">
        <v>74</v>
      </c>
      <c r="H3" s="7" t="s">
        <v>75</v>
      </c>
      <c r="I3" s="7" t="s">
        <v>76</v>
      </c>
      <c r="J3" s="7" t="s">
        <v>77</v>
      </c>
      <c r="K3" s="7" t="s">
        <v>78</v>
      </c>
      <c r="L3" s="7" t="s">
        <v>79</v>
      </c>
    </row>
    <row r="4" customFormat="false" ht="15" hidden="false" customHeight="false" outlineLevel="0" collapsed="false">
      <c r="A4" s="8" t="s">
        <v>80</v>
      </c>
      <c r="B4" s="18" t="n">
        <v>12</v>
      </c>
      <c r="C4" s="15" t="n">
        <f aca="false">Себестоимость!$E$15</f>
        <v>49.4555555555556</v>
      </c>
      <c r="D4" s="11" t="n">
        <f aca="false">B4*C4</f>
        <v>593.466666666667</v>
      </c>
      <c r="E4" s="8" t="s">
        <v>52</v>
      </c>
      <c r="F4" s="15" t="n">
        <f aca="false">INDEX('Цены продуктов'!$F$5:$F$16,MATCH(E4,'Цены продуктов'!$A$5:$A$16,0))+INDEX('Цены продуктов'!$F$5:$F$16,MATCH("Наклейка с составом и датой",'Цены продуктов'!$A$5:$A$16,0))</f>
        <v>170</v>
      </c>
      <c r="G4" s="19" t="n">
        <f aca="false">D4+F4</f>
        <v>763.466666666667</v>
      </c>
      <c r="H4" s="9" t="n">
        <v>1500</v>
      </c>
      <c r="I4" s="19" t="n">
        <f aca="false">H4-G4</f>
        <v>736.533333333333</v>
      </c>
      <c r="J4" s="20" t="n">
        <f aca="false">IF(H4=0,0,I4/H4)</f>
        <v>0.491022222222222</v>
      </c>
      <c r="K4" s="21" t="n">
        <f aca="false">Сценарии!$B$35+Сценарии!$B$39</f>
        <v>0.9</v>
      </c>
      <c r="L4" s="19" t="n">
        <f aca="false">IF(K4=0,0,I4/K4)</f>
        <v>818.37037037037</v>
      </c>
    </row>
    <row r="5" customFormat="false" ht="15" hidden="false" customHeight="false" outlineLevel="0" collapsed="false">
      <c r="A5" s="8" t="s">
        <v>81</v>
      </c>
      <c r="B5" s="18" t="n">
        <v>10</v>
      </c>
      <c r="C5" s="15" t="n">
        <f aca="false">Себестоимость!$E$28</f>
        <v>73.6851851851852</v>
      </c>
      <c r="D5" s="11" t="n">
        <f aca="false">B5*C5</f>
        <v>736.851851851852</v>
      </c>
      <c r="E5" s="8" t="s">
        <v>52</v>
      </c>
      <c r="F5" s="15" t="n">
        <f aca="false">INDEX('Цены продуктов'!$F$5:$F$16,MATCH(E5,'Цены продуктов'!$A$5:$A$16,0))+INDEX('Цены продуктов'!$F$5:$F$16,MATCH("Наклейка с составом и датой",'Цены продуктов'!$A$5:$A$16,0))</f>
        <v>170</v>
      </c>
      <c r="G5" s="19" t="n">
        <f aca="false">D5+F5</f>
        <v>906.851851851852</v>
      </c>
      <c r="H5" s="9" t="n">
        <v>1800</v>
      </c>
      <c r="I5" s="19" t="n">
        <f aca="false">H5-G5</f>
        <v>893.148148148148</v>
      </c>
      <c r="J5" s="20" t="n">
        <f aca="false">IF(H5=0,0,I5/H5)</f>
        <v>0.49619341563786</v>
      </c>
      <c r="K5" s="21" t="n">
        <f aca="false">Сценарии!$B$36+Сценарии!$B$39</f>
        <v>1</v>
      </c>
      <c r="L5" s="19" t="n">
        <f aca="false">IF(K5=0,0,I5/K5)</f>
        <v>893.148148148148</v>
      </c>
    </row>
    <row r="6" customFormat="false" ht="15" hidden="false" customHeight="false" outlineLevel="0" collapsed="false">
      <c r="A6" s="8" t="s">
        <v>82</v>
      </c>
      <c r="B6" s="18" t="n">
        <v>1</v>
      </c>
      <c r="C6" s="15" t="n">
        <f aca="false">Себестоимость!$E$41</f>
        <v>881.111111111111</v>
      </c>
      <c r="D6" s="11" t="n">
        <f aca="false">B6*C6</f>
        <v>881.111111111111</v>
      </c>
      <c r="E6" s="8" t="s">
        <v>50</v>
      </c>
      <c r="F6" s="15" t="n">
        <f aca="false">INDEX('Цены продуктов'!$F$5:$F$16,MATCH(E6,'Цены продуктов'!$A$5:$A$16,0))+INDEX('Цены продуктов'!$F$5:$F$16,MATCH("Наклейка с составом и датой",'Цены продуктов'!$A$5:$A$16,0))</f>
        <v>370</v>
      </c>
      <c r="G6" s="19" t="n">
        <f aca="false">D6+F6</f>
        <v>1251.11111111111</v>
      </c>
      <c r="H6" s="9" t="n">
        <v>3000</v>
      </c>
      <c r="I6" s="19" t="n">
        <f aca="false">H6-G6</f>
        <v>1748.88888888889</v>
      </c>
      <c r="J6" s="20" t="n">
        <f aca="false">IF(H6=0,0,I6/H6)</f>
        <v>0.582962962962963</v>
      </c>
      <c r="K6" s="21" t="n">
        <f aca="false">Сценарии!$B$37+Сценарии!$B$39</f>
        <v>0.55</v>
      </c>
      <c r="L6" s="19" t="n">
        <f aca="false">IF(K6=0,0,I6/K6)</f>
        <v>3179.79797979798</v>
      </c>
    </row>
    <row r="8" customFormat="false" ht="15" hidden="false" customHeight="false" outlineLevel="0" collapsed="false">
      <c r="A8" s="6" t="s">
        <v>83</v>
      </c>
    </row>
    <row r="9" customFormat="false" ht="15" hidden="false" customHeight="false" outlineLevel="0" collapsed="false">
      <c r="A9" s="6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85</v>
      </c>
    </row>
    <row r="2" customFormat="false" ht="15" hidden="false" customHeight="false" outlineLevel="0" collapsed="false">
      <c r="A2" s="6" t="s">
        <v>86</v>
      </c>
    </row>
    <row r="4" customFormat="false" ht="15" hidden="false" customHeight="false" outlineLevel="0" collapsed="false">
      <c r="A4" s="7" t="s">
        <v>87</v>
      </c>
      <c r="B4" s="7" t="s">
        <v>88</v>
      </c>
      <c r="C4" s="7" t="s">
        <v>89</v>
      </c>
      <c r="D4" s="7" t="s">
        <v>90</v>
      </c>
      <c r="E4" s="7" t="s">
        <v>91</v>
      </c>
    </row>
    <row r="5" customFormat="false" ht="15" hidden="false" customHeight="false" outlineLevel="0" collapsed="false">
      <c r="A5" s="8" t="s">
        <v>92</v>
      </c>
      <c r="B5" s="18" t="n">
        <v>3</v>
      </c>
      <c r="C5" s="18" t="n">
        <v>6</v>
      </c>
      <c r="D5" s="18" t="n">
        <v>10</v>
      </c>
      <c r="E5" s="8" t="s">
        <v>93</v>
      </c>
    </row>
    <row r="6" customFormat="false" ht="15" hidden="false" customHeight="false" outlineLevel="0" collapsed="false">
      <c r="A6" s="8" t="s">
        <v>94</v>
      </c>
      <c r="B6" s="18" t="n">
        <v>2</v>
      </c>
      <c r="C6" s="18" t="n">
        <v>4</v>
      </c>
      <c r="D6" s="18" t="n">
        <v>7</v>
      </c>
    </row>
    <row r="7" customFormat="false" ht="15" hidden="false" customHeight="false" outlineLevel="0" collapsed="false">
      <c r="A7" s="8" t="s">
        <v>95</v>
      </c>
      <c r="B7" s="18" t="n">
        <v>3</v>
      </c>
      <c r="C7" s="18" t="n">
        <v>5</v>
      </c>
      <c r="D7" s="18" t="n">
        <v>8</v>
      </c>
    </row>
    <row r="8" customFormat="false" ht="15" hidden="false" customHeight="false" outlineLevel="0" collapsed="false">
      <c r="A8" s="22" t="s">
        <v>96</v>
      </c>
      <c r="B8" s="23" t="n">
        <f aca="false">SUM(B5:B7)</f>
        <v>8</v>
      </c>
      <c r="C8" s="23" t="n">
        <f aca="false">SUM(C5:C7)</f>
        <v>15</v>
      </c>
      <c r="D8" s="23" t="n">
        <f aca="false">SUM(D5:D7)</f>
        <v>25</v>
      </c>
    </row>
    <row r="9" customFormat="false" ht="15" hidden="false" customHeight="false" outlineLevel="0" collapsed="false">
      <c r="A9" s="8" t="s">
        <v>97</v>
      </c>
      <c r="B9" s="20" t="n">
        <f aca="false">B8/$B$30</f>
        <v>0.051948051948052</v>
      </c>
      <c r="C9" s="20" t="n">
        <f aca="false">C8/$B$30</f>
        <v>0.0974025974025974</v>
      </c>
      <c r="D9" s="20" t="n">
        <f aca="false">D8/$B$30</f>
        <v>0.162337662337662</v>
      </c>
      <c r="E9" s="8" t="s">
        <v>98</v>
      </c>
    </row>
    <row r="11" customFormat="false" ht="15" hidden="false" customHeight="false" outlineLevel="0" collapsed="false">
      <c r="A11" s="8" t="s">
        <v>99</v>
      </c>
      <c r="B11" s="11" t="n">
        <f aca="false">B5*'Цены и маржа'!$H$4+B6*'Цены и маржа'!$H$5+B7*'Цены и маржа'!$H$6</f>
        <v>17100</v>
      </c>
      <c r="C11" s="11" t="n">
        <f aca="false">C5*'Цены и маржа'!$H$4+C6*'Цены и маржа'!$H$5+C7*'Цены и маржа'!$H$6</f>
        <v>31200</v>
      </c>
      <c r="D11" s="11" t="n">
        <f aca="false">D5*'Цены и маржа'!$H$4+D6*'Цены и маржа'!$H$5+D7*'Цены и маржа'!$H$6</f>
        <v>51600</v>
      </c>
    </row>
    <row r="12" customFormat="false" ht="15" hidden="false" customHeight="false" outlineLevel="0" collapsed="false">
      <c r="A12" s="8" t="s">
        <v>100</v>
      </c>
      <c r="B12" s="11" t="n">
        <f aca="false">B5*'Цены и маржа'!$G$4+B6*'Цены и маржа'!$G$5+B7*'Цены и маржа'!$G$6</f>
        <v>7857.43703703704</v>
      </c>
      <c r="C12" s="11" t="n">
        <f aca="false">C5*'Цены и маржа'!$G$4+C6*'Цены и маржа'!$G$5+C7*'Цены и маржа'!$G$6</f>
        <v>14463.762962963</v>
      </c>
      <c r="D12" s="11" t="n">
        <f aca="false">D5*'Цены и маржа'!$G$4+D6*'Цены и маржа'!$G$5+D7*'Цены и маржа'!$G$6</f>
        <v>23991.5185185185</v>
      </c>
    </row>
    <row r="13" customFormat="false" ht="15" hidden="false" customHeight="false" outlineLevel="0" collapsed="false">
      <c r="A13" s="22" t="s">
        <v>101</v>
      </c>
      <c r="B13" s="19" t="n">
        <f aca="false">B11-B12</f>
        <v>9242.56296296296</v>
      </c>
      <c r="C13" s="19" t="n">
        <f aca="false">C11-C12</f>
        <v>16736.237037037</v>
      </c>
      <c r="D13" s="19" t="n">
        <f aca="false">D11-D12</f>
        <v>27608.4814814815</v>
      </c>
    </row>
    <row r="15" customFormat="false" ht="15" hidden="false" customHeight="false" outlineLevel="0" collapsed="false">
      <c r="A15" s="16" t="s">
        <v>102</v>
      </c>
      <c r="B15" s="17" t="n">
        <f aca="false">B11*$B$31</f>
        <v>73530</v>
      </c>
      <c r="C15" s="17" t="n">
        <f aca="false">C11*$B$31</f>
        <v>134160</v>
      </c>
      <c r="D15" s="17" t="n">
        <f aca="false">D11*$B$31</f>
        <v>221880</v>
      </c>
    </row>
    <row r="16" customFormat="false" ht="15" hidden="false" customHeight="false" outlineLevel="0" collapsed="false">
      <c r="A16" s="8" t="s">
        <v>103</v>
      </c>
      <c r="B16" s="11" t="n">
        <f aca="false">B12*$B$31</f>
        <v>33786.9792592593</v>
      </c>
      <c r="C16" s="11" t="n">
        <f aca="false">C12*$B$31</f>
        <v>62194.1807407407</v>
      </c>
      <c r="D16" s="11" t="n">
        <f aca="false">D12*$B$31</f>
        <v>103163.52962963</v>
      </c>
    </row>
    <row r="17" customFormat="false" ht="15" hidden="false" customHeight="false" outlineLevel="0" collapsed="false">
      <c r="A17" s="8" t="s">
        <v>104</v>
      </c>
      <c r="B17" s="11" t="n">
        <f aca="false">$B$32</f>
        <v>4000</v>
      </c>
      <c r="C17" s="11" t="n">
        <f aca="false">$B$32</f>
        <v>4000</v>
      </c>
      <c r="D17" s="11" t="n">
        <f aca="false">$B$32</f>
        <v>4000</v>
      </c>
    </row>
    <row r="18" customFormat="false" ht="15" hidden="false" customHeight="false" outlineLevel="0" collapsed="false">
      <c r="A18" s="8" t="s">
        <v>105</v>
      </c>
      <c r="B18" s="11" t="n">
        <f aca="false">B15*$B$33</f>
        <v>3676.5</v>
      </c>
      <c r="C18" s="11" t="n">
        <f aca="false">C15*$B$33</f>
        <v>6708</v>
      </c>
      <c r="D18" s="11" t="n">
        <f aca="false">D15*$B$33</f>
        <v>11094</v>
      </c>
    </row>
    <row r="19" customFormat="false" ht="15" hidden="false" customHeight="false" outlineLevel="0" collapsed="false">
      <c r="A19" s="8" t="s">
        <v>106</v>
      </c>
      <c r="B19" s="11" t="n">
        <f aca="false">B15*$B$34</f>
        <v>2941.2</v>
      </c>
      <c r="C19" s="11" t="n">
        <f aca="false">C15*$B$34</f>
        <v>5366.4</v>
      </c>
      <c r="D19" s="11" t="n">
        <f aca="false">D15*$B$34</f>
        <v>8875.2</v>
      </c>
    </row>
    <row r="20" customFormat="false" ht="15" hidden="false" customHeight="false" outlineLevel="0" collapsed="false">
      <c r="A20" s="16" t="s">
        <v>107</v>
      </c>
      <c r="B20" s="17" t="n">
        <f aca="false">B15-B16-B17-B18-B19</f>
        <v>29125.3207407407</v>
      </c>
      <c r="C20" s="17" t="n">
        <f aca="false">C15-C16-C17-C18-C19</f>
        <v>55891.4192592593</v>
      </c>
      <c r="D20" s="17" t="n">
        <f aca="false">D15-D16-D17-D18-D19</f>
        <v>94747.2703703704</v>
      </c>
    </row>
    <row r="22" customFormat="false" ht="15" hidden="false" customHeight="false" outlineLevel="0" collapsed="false">
      <c r="A22" s="8" t="s">
        <v>108</v>
      </c>
      <c r="B22" s="24" t="n">
        <f aca="false">B5*$B$35+B6*$B$36+B7*$B$37+$B$38+B8*$B$39</f>
        <v>7.85</v>
      </c>
      <c r="C22" s="24" t="n">
        <f aca="false">C5*$B$35+C6*$B$36+C7*$B$37+$B$38+C8*$B$39</f>
        <v>13.65</v>
      </c>
      <c r="D22" s="24" t="n">
        <f aca="false">D5*$B$35+D6*$B$36+D7*$B$37+$B$38+D8*$B$39</f>
        <v>21.9</v>
      </c>
      <c r="E22" s="8" t="s">
        <v>109</v>
      </c>
    </row>
    <row r="23" customFormat="false" ht="15" hidden="false" customHeight="false" outlineLevel="0" collapsed="false">
      <c r="A23" s="8" t="s">
        <v>110</v>
      </c>
      <c r="B23" s="24" t="n">
        <f aca="false">B22/5</f>
        <v>1.57</v>
      </c>
      <c r="C23" s="24" t="n">
        <f aca="false">C22/5</f>
        <v>2.73</v>
      </c>
      <c r="D23" s="24" t="n">
        <f aca="false">D22/5</f>
        <v>4.38</v>
      </c>
    </row>
    <row r="24" customFormat="false" ht="15" hidden="false" customHeight="false" outlineLevel="0" collapsed="false">
      <c r="A24" s="22" t="s">
        <v>111</v>
      </c>
      <c r="B24" s="19" t="n">
        <f aca="false">IF(B22=0,0,B20/(B22*$B$31))</f>
        <v>862.844637557125</v>
      </c>
      <c r="C24" s="19" t="n">
        <f aca="false">IF(C22=0,0,C20/(C22*$B$31))</f>
        <v>952.234760358792</v>
      </c>
      <c r="D24" s="19" t="n">
        <f aca="false">IF(D22=0,0,D20/(D22*$B$31))</f>
        <v>1006.13008782383</v>
      </c>
    </row>
    <row r="25" customFormat="false" ht="15" hidden="false" customHeight="false" outlineLevel="0" collapsed="false">
      <c r="A25" s="22" t="s">
        <v>112</v>
      </c>
      <c r="B25" s="25" t="n">
        <f aca="false">IF(B20&lt;=0,"не окупится",Старт!$C$12/(B20/$B$31))</f>
        <v>9.44882298291905</v>
      </c>
      <c r="C25" s="25" t="n">
        <f aca="false">IF(C20&lt;=0,"не окупится",Старт!$C$12/(C20/$B$31))</f>
        <v>4.92383273939513</v>
      </c>
      <c r="D25" s="25" t="n">
        <f aca="false">IF(D20&lt;=0,"не окупится",Старт!$C$12/(D20/$B$31))</f>
        <v>2.90456916515097</v>
      </c>
    </row>
    <row r="29" customFormat="false" ht="15" hidden="false" customHeight="false" outlineLevel="0" collapsed="false">
      <c r="A29" s="13" t="s">
        <v>113</v>
      </c>
    </row>
    <row r="30" customFormat="false" ht="15" hidden="false" customHeight="false" outlineLevel="0" collapsed="false">
      <c r="A30" s="8" t="s">
        <v>114</v>
      </c>
      <c r="B30" s="18" t="n">
        <v>154</v>
      </c>
      <c r="E30" s="8" t="s">
        <v>115</v>
      </c>
    </row>
    <row r="31" customFormat="false" ht="15" hidden="false" customHeight="false" outlineLevel="0" collapsed="false">
      <c r="A31" s="8" t="s">
        <v>116</v>
      </c>
      <c r="B31" s="26" t="n">
        <v>4.3</v>
      </c>
      <c r="E31" s="8" t="s">
        <v>117</v>
      </c>
    </row>
    <row r="32" customFormat="false" ht="15" hidden="false" customHeight="false" outlineLevel="0" collapsed="false">
      <c r="A32" s="8" t="s">
        <v>118</v>
      </c>
      <c r="B32" s="9" t="n">
        <v>4000</v>
      </c>
      <c r="E32" s="8" t="s">
        <v>119</v>
      </c>
    </row>
    <row r="33" customFormat="false" ht="15" hidden="false" customHeight="false" outlineLevel="0" collapsed="false">
      <c r="A33" s="8" t="s">
        <v>120</v>
      </c>
      <c r="B33" s="27" t="n">
        <v>0.05</v>
      </c>
      <c r="E33" s="8" t="s">
        <v>121</v>
      </c>
    </row>
    <row r="34" customFormat="false" ht="15" hidden="false" customHeight="false" outlineLevel="0" collapsed="false">
      <c r="A34" s="8" t="s">
        <v>122</v>
      </c>
      <c r="B34" s="27" t="n">
        <v>0.04</v>
      </c>
      <c r="E34" s="8" t="s">
        <v>123</v>
      </c>
    </row>
    <row r="35" customFormat="false" ht="15" hidden="false" customHeight="false" outlineLevel="0" collapsed="false">
      <c r="A35" s="8" t="s">
        <v>124</v>
      </c>
      <c r="B35" s="10" t="n">
        <v>0.75</v>
      </c>
      <c r="E35" s="8" t="s">
        <v>125</v>
      </c>
    </row>
    <row r="36" customFormat="false" ht="15" hidden="false" customHeight="false" outlineLevel="0" collapsed="false">
      <c r="A36" s="8" t="s">
        <v>126</v>
      </c>
      <c r="B36" s="10" t="n">
        <v>0.85</v>
      </c>
      <c r="E36" s="8" t="s">
        <v>127</v>
      </c>
    </row>
    <row r="37" customFormat="false" ht="15" hidden="false" customHeight="false" outlineLevel="0" collapsed="false">
      <c r="A37" s="8" t="s">
        <v>128</v>
      </c>
      <c r="B37" s="10" t="n">
        <v>0.4</v>
      </c>
      <c r="E37" s="8" t="s">
        <v>129</v>
      </c>
    </row>
    <row r="38" customFormat="false" ht="15" hidden="false" customHeight="false" outlineLevel="0" collapsed="false">
      <c r="A38" s="8" t="s">
        <v>130</v>
      </c>
      <c r="B38" s="26" t="n">
        <v>1.5</v>
      </c>
      <c r="E38" s="8" t="s">
        <v>131</v>
      </c>
    </row>
    <row r="39" customFormat="false" ht="15" hidden="false" customHeight="false" outlineLevel="0" collapsed="false">
      <c r="A39" s="8" t="s">
        <v>132</v>
      </c>
      <c r="B39" s="10" t="n">
        <v>0.15</v>
      </c>
      <c r="E39" s="8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134</v>
      </c>
    </row>
    <row r="3" customFormat="false" ht="26.85" hidden="false" customHeight="false" outlineLevel="0" collapsed="false">
      <c r="A3" s="7" t="s">
        <v>135</v>
      </c>
      <c r="B3" s="7" t="s">
        <v>59</v>
      </c>
      <c r="C3" s="7" t="s">
        <v>136</v>
      </c>
      <c r="D3" s="7" t="s">
        <v>137</v>
      </c>
      <c r="E3" s="7" t="s">
        <v>138</v>
      </c>
    </row>
    <row r="4" customFormat="false" ht="15" hidden="false" customHeight="false" outlineLevel="0" collapsed="false">
      <c r="A4" s="8" t="s">
        <v>139</v>
      </c>
      <c r="B4" s="18" t="n">
        <v>1</v>
      </c>
      <c r="C4" s="9" t="n">
        <v>15000</v>
      </c>
      <c r="D4" s="11" t="n">
        <f aca="false">B4*C4</f>
        <v>15000</v>
      </c>
      <c r="E4" s="8" t="s">
        <v>140</v>
      </c>
    </row>
    <row r="5" customFormat="false" ht="15" hidden="false" customHeight="false" outlineLevel="0" collapsed="false">
      <c r="A5" s="8" t="s">
        <v>141</v>
      </c>
      <c r="B5" s="18" t="n">
        <v>1</v>
      </c>
      <c r="C5" s="9" t="n">
        <v>13000</v>
      </c>
      <c r="D5" s="11" t="n">
        <f aca="false">B5*C5</f>
        <v>13000</v>
      </c>
      <c r="E5" s="8" t="s">
        <v>142</v>
      </c>
    </row>
    <row r="6" customFormat="false" ht="15" hidden="false" customHeight="false" outlineLevel="0" collapsed="false">
      <c r="A6" s="8" t="s">
        <v>143</v>
      </c>
      <c r="B6" s="18" t="n">
        <v>2</v>
      </c>
      <c r="C6" s="9" t="n">
        <v>3500</v>
      </c>
      <c r="D6" s="11" t="n">
        <f aca="false">B6*C6</f>
        <v>7000</v>
      </c>
      <c r="E6" s="8" t="s">
        <v>144</v>
      </c>
    </row>
    <row r="7" customFormat="false" ht="15" hidden="false" customHeight="false" outlineLevel="0" collapsed="false">
      <c r="A7" s="8" t="s">
        <v>145</v>
      </c>
      <c r="B7" s="18" t="n">
        <v>1</v>
      </c>
      <c r="C7" s="9" t="n">
        <v>5000</v>
      </c>
      <c r="D7" s="11" t="n">
        <f aca="false">B7*C7</f>
        <v>5000</v>
      </c>
      <c r="E7" s="8" t="s">
        <v>146</v>
      </c>
    </row>
    <row r="8" customFormat="false" ht="15" hidden="false" customHeight="false" outlineLevel="0" collapsed="false">
      <c r="A8" s="8" t="s">
        <v>147</v>
      </c>
      <c r="B8" s="18" t="n">
        <v>1</v>
      </c>
      <c r="C8" s="9" t="n">
        <v>4000</v>
      </c>
      <c r="D8" s="11" t="n">
        <f aca="false">B8*C8</f>
        <v>4000</v>
      </c>
      <c r="E8" s="8"/>
    </row>
    <row r="9" customFormat="false" ht="15" hidden="false" customHeight="false" outlineLevel="0" collapsed="false">
      <c r="A9" s="8" t="s">
        <v>148</v>
      </c>
      <c r="B9" s="18" t="n">
        <v>1</v>
      </c>
      <c r="C9" s="9" t="n">
        <v>10000</v>
      </c>
      <c r="D9" s="11" t="n">
        <f aca="false">B9*C9</f>
        <v>10000</v>
      </c>
      <c r="E9" s="8" t="s">
        <v>149</v>
      </c>
    </row>
    <row r="10" customFormat="false" ht="15" hidden="false" customHeight="false" outlineLevel="0" collapsed="false">
      <c r="A10" s="8" t="s">
        <v>150</v>
      </c>
      <c r="B10" s="18" t="n">
        <v>1</v>
      </c>
      <c r="C10" s="9" t="n">
        <v>10000</v>
      </c>
      <c r="D10" s="11" t="n">
        <f aca="false">B10*C10</f>
        <v>10000</v>
      </c>
      <c r="E10" s="8" t="s">
        <v>151</v>
      </c>
    </row>
    <row r="12" customFormat="false" ht="15" hidden="false" customHeight="false" outlineLevel="0" collapsed="false">
      <c r="A12" s="16" t="s">
        <v>152</v>
      </c>
      <c r="C12" s="17" t="n">
        <f aca="false">SUM(D4:D10)</f>
        <v>64000</v>
      </c>
    </row>
    <row r="13" customFormat="false" ht="15" hidden="false" customHeight="false" outlineLevel="0" collapsed="false">
      <c r="A13" s="6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7" min="4" style="0" width="12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2"/>
    <col collapsed="false" customWidth="true" hidden="false" outlineLevel="0" max="11" min="11" style="0" width="34"/>
    <col collapsed="false" customWidth="true" hidden="false" outlineLevel="0" max="12" min="12" style="0" width="16"/>
  </cols>
  <sheetData>
    <row r="1" customFormat="false" ht="17.3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6" t="s">
        <v>155</v>
      </c>
    </row>
    <row r="4" customFormat="false" ht="26.85" hidden="false" customHeight="false" outlineLevel="0" collapsed="false">
      <c r="A4" s="7" t="s">
        <v>156</v>
      </c>
      <c r="B4" s="7" t="s">
        <v>157</v>
      </c>
      <c r="C4" s="7" t="s">
        <v>158</v>
      </c>
      <c r="D4" s="7" t="s">
        <v>59</v>
      </c>
      <c r="E4" s="7" t="s">
        <v>136</v>
      </c>
      <c r="F4" s="7" t="s">
        <v>137</v>
      </c>
      <c r="G4" s="7" t="s">
        <v>159</v>
      </c>
      <c r="H4" s="7" t="s">
        <v>160</v>
      </c>
      <c r="I4" s="7" t="s">
        <v>161</v>
      </c>
      <c r="K4" s="3" t="s">
        <v>162</v>
      </c>
    </row>
    <row r="5" customFormat="false" ht="15" hidden="false" customHeight="false" outlineLevel="0" collapsed="false">
      <c r="A5" s="28" t="n">
        <v>46312</v>
      </c>
      <c r="B5" s="29" t="s">
        <v>163</v>
      </c>
      <c r="C5" s="29" t="s">
        <v>82</v>
      </c>
      <c r="D5" s="29" t="n">
        <v>1</v>
      </c>
      <c r="E5" s="15" t="n">
        <f aca="false">IF(C5="","",INDEX('Цены и маржа'!$H$4:$H$6,MATCH(C5,'Цены и маржа'!$A$4:$A$6,0)))</f>
        <v>3000</v>
      </c>
      <c r="F5" s="11" t="n">
        <f aca="false">IF(C5="","",D5*E5)</f>
        <v>3000</v>
      </c>
      <c r="G5" s="29" t="s">
        <v>164</v>
      </c>
      <c r="H5" s="29" t="s">
        <v>160</v>
      </c>
      <c r="I5" s="29" t="s">
        <v>165</v>
      </c>
      <c r="K5" s="8" t="s">
        <v>166</v>
      </c>
      <c r="L5" s="19" t="n">
        <f aca="false">SUM(F5:F204)</f>
        <v>3000</v>
      </c>
    </row>
    <row r="6" customFormat="false" ht="15" hidden="false" customHeight="false" outlineLevel="0" collapsed="false">
      <c r="A6" s="28"/>
      <c r="B6" s="29"/>
      <c r="C6" s="29"/>
      <c r="D6" s="29"/>
      <c r="E6" s="15" t="str">
        <f aca="false">IF(C6="","",INDEX('Цены и маржа'!$H$4:$H$6,MATCH(C6,'Цены и маржа'!$A$4:$A$6,0)))</f>
        <v/>
      </c>
      <c r="F6" s="11" t="str">
        <f aca="false">IF(C6="","",D6*E6)</f>
        <v/>
      </c>
      <c r="G6" s="29"/>
      <c r="H6" s="29"/>
      <c r="I6" s="29"/>
      <c r="K6" s="8" t="s">
        <v>167</v>
      </c>
      <c r="L6" s="23" t="n">
        <f aca="false">COUNTA(C5:C204)</f>
        <v>1</v>
      </c>
    </row>
    <row r="7" customFormat="false" ht="15" hidden="false" customHeight="false" outlineLevel="0" collapsed="false">
      <c r="A7" s="28"/>
      <c r="B7" s="29"/>
      <c r="C7" s="29"/>
      <c r="D7" s="29"/>
      <c r="E7" s="15" t="str">
        <f aca="false">IF(C7="","",INDEX('Цены и маржа'!$H$4:$H$6,MATCH(C7,'Цены и маржа'!$A$4:$A$6,0)))</f>
        <v/>
      </c>
      <c r="F7" s="11" t="str">
        <f aca="false">IF(C7="","",D7*E7)</f>
        <v/>
      </c>
      <c r="G7" s="29"/>
      <c r="H7" s="29"/>
      <c r="I7" s="29"/>
      <c r="K7" s="8" t="s">
        <v>168</v>
      </c>
      <c r="L7" s="19" t="n">
        <f aca="false">SUMPRODUCT(SUMIF(C5:C204,'Цены и маржа'!$A$4:$A$6,D5:D204)*'Цены и маржа'!$I$4:$I$6)</f>
        <v>1748.88888888889</v>
      </c>
    </row>
    <row r="8" customFormat="false" ht="15" hidden="false" customHeight="false" outlineLevel="0" collapsed="false">
      <c r="A8" s="28"/>
      <c r="B8" s="29"/>
      <c r="C8" s="29"/>
      <c r="D8" s="29"/>
      <c r="E8" s="15" t="str">
        <f aca="false">IF(C8="","",INDEX('Цены и маржа'!$H$4:$H$6,MATCH(C8,'Цены и маржа'!$A$4:$A$6,0)))</f>
        <v/>
      </c>
      <c r="F8" s="11" t="str">
        <f aca="false">IF(C8="","",D8*E8)</f>
        <v/>
      </c>
      <c r="G8" s="29"/>
      <c r="H8" s="29"/>
      <c r="I8" s="29"/>
      <c r="K8" s="3" t="s">
        <v>169</v>
      </c>
    </row>
    <row r="9" customFormat="false" ht="15" hidden="false" customHeight="false" outlineLevel="0" collapsed="false">
      <c r="A9" s="28"/>
      <c r="B9" s="29"/>
      <c r="C9" s="29"/>
      <c r="D9" s="29"/>
      <c r="E9" s="15" t="str">
        <f aca="false">IF(C9="","",INDEX('Цены и маржа'!$H$4:$H$6,MATCH(C9,'Цены и маржа'!$A$4:$A$6,0)))</f>
        <v/>
      </c>
      <c r="F9" s="11" t="str">
        <f aca="false">IF(C9="","",D9*E9)</f>
        <v/>
      </c>
      <c r="G9" s="29"/>
      <c r="H9" s="29"/>
      <c r="I9" s="29"/>
      <c r="K9" s="14" t="str">
        <f aca="false">'Цены и маржа'!A4</f>
        <v>Орешки со сгущёнкой, 12 шт</v>
      </c>
      <c r="L9" s="30" t="n">
        <f aca="false">SUMIF(C$5:C$204,K9,D$5:D$204)</f>
        <v>0</v>
      </c>
    </row>
    <row r="10" customFormat="false" ht="15" hidden="false" customHeight="false" outlineLevel="0" collapsed="false">
      <c r="A10" s="28"/>
      <c r="B10" s="29"/>
      <c r="C10" s="29"/>
      <c r="D10" s="29"/>
      <c r="E10" s="15" t="str">
        <f aca="false">IF(C10="","",INDEX('Цены и маржа'!$H$4:$H$6,MATCH(C10,'Цены и маржа'!$A$4:$A$6,0)))</f>
        <v/>
      </c>
      <c r="F10" s="11" t="str">
        <f aca="false">IF(C10="","",D10*E10)</f>
        <v/>
      </c>
      <c r="G10" s="29"/>
      <c r="H10" s="29"/>
      <c r="I10" s="29"/>
      <c r="K10" s="14" t="str">
        <f aca="false">'Цены и маржа'!A5</f>
        <v>Вафельные трубочки, 10 шт</v>
      </c>
      <c r="L10" s="30" t="n">
        <f aca="false">SUMIF(C$5:C$204,K10,D$5:D$204)</f>
        <v>0</v>
      </c>
    </row>
    <row r="11" customFormat="false" ht="15" hidden="false" customHeight="false" outlineLevel="0" collapsed="false">
      <c r="A11" s="28"/>
      <c r="B11" s="29"/>
      <c r="C11" s="29"/>
      <c r="D11" s="29"/>
      <c r="E11" s="15" t="str">
        <f aca="false">IF(C11="","",INDEX('Цены и маржа'!$H$4:$H$6,MATCH(C11,'Цены и маржа'!$A$4:$A$6,0)))</f>
        <v/>
      </c>
      <c r="F11" s="11" t="str">
        <f aca="false">IF(C11="","",D11*E11)</f>
        <v/>
      </c>
      <c r="G11" s="29"/>
      <c r="H11" s="29"/>
      <c r="I11" s="29"/>
      <c r="K11" s="14" t="str">
        <f aca="false">'Цены и маржа'!A6</f>
        <v>Шарлотка целая, 26 см</v>
      </c>
      <c r="L11" s="30" t="n">
        <f aca="false">SUMIF(C$5:C$204,K11,D$5:D$204)</f>
        <v>1</v>
      </c>
    </row>
    <row r="12" customFormat="false" ht="15" hidden="false" customHeight="false" outlineLevel="0" collapsed="false">
      <c r="A12" s="28"/>
      <c r="B12" s="29"/>
      <c r="C12" s="29"/>
      <c r="D12" s="29"/>
      <c r="E12" s="15" t="str">
        <f aca="false">IF(C12="","",INDEX('Цены и маржа'!$H$4:$H$6,MATCH(C12,'Цены и маржа'!$A$4:$A$6,0)))</f>
        <v/>
      </c>
      <c r="F12" s="11" t="str">
        <f aca="false">IF(C12="","",D12*E12)</f>
        <v/>
      </c>
      <c r="G12" s="29"/>
      <c r="H12" s="29"/>
      <c r="I12" s="29"/>
    </row>
    <row r="13" customFormat="false" ht="15" hidden="false" customHeight="false" outlineLevel="0" collapsed="false">
      <c r="A13" s="28"/>
      <c r="B13" s="29"/>
      <c r="C13" s="29"/>
      <c r="D13" s="29"/>
      <c r="E13" s="15" t="str">
        <f aca="false">IF(C13="","",INDEX('Цены и маржа'!$H$4:$H$6,MATCH(C13,'Цены и маржа'!$A$4:$A$6,0)))</f>
        <v/>
      </c>
      <c r="F13" s="11" t="str">
        <f aca="false">IF(C13="","",D13*E13)</f>
        <v/>
      </c>
      <c r="G13" s="29"/>
      <c r="H13" s="29"/>
      <c r="I13" s="29"/>
    </row>
    <row r="14" customFormat="false" ht="15" hidden="false" customHeight="false" outlineLevel="0" collapsed="false">
      <c r="A14" s="28"/>
      <c r="B14" s="29"/>
      <c r="C14" s="29"/>
      <c r="D14" s="29"/>
      <c r="E14" s="15" t="str">
        <f aca="false">IF(C14="","",INDEX('Цены и маржа'!$H$4:$H$6,MATCH(C14,'Цены и маржа'!$A$4:$A$6,0)))</f>
        <v/>
      </c>
      <c r="F14" s="11" t="str">
        <f aca="false">IF(C14="","",D14*E14)</f>
        <v/>
      </c>
      <c r="G14" s="29"/>
      <c r="H14" s="29"/>
      <c r="I14" s="29"/>
    </row>
    <row r="15" customFormat="false" ht="15" hidden="false" customHeight="false" outlineLevel="0" collapsed="false">
      <c r="A15" s="28"/>
      <c r="B15" s="29"/>
      <c r="C15" s="29"/>
      <c r="D15" s="29"/>
      <c r="E15" s="15" t="str">
        <f aca="false">IF(C15="","",INDEX('Цены и маржа'!$H$4:$H$6,MATCH(C15,'Цены и маржа'!$A$4:$A$6,0)))</f>
        <v/>
      </c>
      <c r="F15" s="11" t="str">
        <f aca="false">IF(C15="","",D15*E15)</f>
        <v/>
      </c>
      <c r="G15" s="29"/>
      <c r="H15" s="29"/>
      <c r="I15" s="29"/>
    </row>
    <row r="16" customFormat="false" ht="15" hidden="false" customHeight="false" outlineLevel="0" collapsed="false">
      <c r="A16" s="28"/>
      <c r="B16" s="29"/>
      <c r="C16" s="29"/>
      <c r="D16" s="29"/>
      <c r="E16" s="15" t="str">
        <f aca="false">IF(C16="","",INDEX('Цены и маржа'!$H$4:$H$6,MATCH(C16,'Цены и маржа'!$A$4:$A$6,0)))</f>
        <v/>
      </c>
      <c r="F16" s="11" t="str">
        <f aca="false">IF(C16="","",D16*E16)</f>
        <v/>
      </c>
      <c r="G16" s="29"/>
      <c r="H16" s="29"/>
      <c r="I16" s="29"/>
    </row>
    <row r="17" customFormat="false" ht="15" hidden="false" customHeight="false" outlineLevel="0" collapsed="false">
      <c r="A17" s="28"/>
      <c r="B17" s="29"/>
      <c r="C17" s="29"/>
      <c r="D17" s="29"/>
      <c r="E17" s="15" t="str">
        <f aca="false">IF(C17="","",INDEX('Цены и маржа'!$H$4:$H$6,MATCH(C17,'Цены и маржа'!$A$4:$A$6,0)))</f>
        <v/>
      </c>
      <c r="F17" s="11" t="str">
        <f aca="false">IF(C17="","",D17*E17)</f>
        <v/>
      </c>
      <c r="G17" s="29"/>
      <c r="H17" s="29"/>
      <c r="I17" s="29"/>
    </row>
    <row r="18" customFormat="false" ht="15" hidden="false" customHeight="false" outlineLevel="0" collapsed="false">
      <c r="A18" s="28"/>
      <c r="B18" s="29"/>
      <c r="C18" s="29"/>
      <c r="D18" s="29"/>
      <c r="E18" s="15" t="str">
        <f aca="false">IF(C18="","",INDEX('Цены и маржа'!$H$4:$H$6,MATCH(C18,'Цены и маржа'!$A$4:$A$6,0)))</f>
        <v/>
      </c>
      <c r="F18" s="11" t="str">
        <f aca="false">IF(C18="","",D18*E18)</f>
        <v/>
      </c>
      <c r="G18" s="29"/>
      <c r="H18" s="29"/>
      <c r="I18" s="29"/>
    </row>
    <row r="19" customFormat="false" ht="15" hidden="false" customHeight="false" outlineLevel="0" collapsed="false">
      <c r="A19" s="28"/>
      <c r="B19" s="29"/>
      <c r="C19" s="29"/>
      <c r="D19" s="29"/>
      <c r="E19" s="15" t="str">
        <f aca="false">IF(C19="","",INDEX('Цены и маржа'!$H$4:$H$6,MATCH(C19,'Цены и маржа'!$A$4:$A$6,0)))</f>
        <v/>
      </c>
      <c r="F19" s="11" t="str">
        <f aca="false">IF(C19="","",D19*E19)</f>
        <v/>
      </c>
      <c r="G19" s="29"/>
      <c r="H19" s="29"/>
      <c r="I19" s="29"/>
    </row>
    <row r="20" customFormat="false" ht="15" hidden="false" customHeight="false" outlineLevel="0" collapsed="false">
      <c r="A20" s="28"/>
      <c r="B20" s="29"/>
      <c r="C20" s="29"/>
      <c r="D20" s="29"/>
      <c r="E20" s="15" t="str">
        <f aca="false">IF(C20="","",INDEX('Цены и маржа'!$H$4:$H$6,MATCH(C20,'Цены и маржа'!$A$4:$A$6,0)))</f>
        <v/>
      </c>
      <c r="F20" s="11" t="str">
        <f aca="false">IF(C20="","",D20*E20)</f>
        <v/>
      </c>
      <c r="G20" s="29"/>
      <c r="H20" s="29"/>
      <c r="I20" s="29"/>
    </row>
    <row r="21" customFormat="false" ht="15" hidden="false" customHeight="false" outlineLevel="0" collapsed="false">
      <c r="A21" s="28"/>
      <c r="B21" s="29"/>
      <c r="C21" s="29"/>
      <c r="D21" s="29"/>
      <c r="E21" s="15" t="str">
        <f aca="false">IF(C21="","",INDEX('Цены и маржа'!$H$4:$H$6,MATCH(C21,'Цены и маржа'!$A$4:$A$6,0)))</f>
        <v/>
      </c>
      <c r="F21" s="11" t="str">
        <f aca="false">IF(C21="","",D21*E21)</f>
        <v/>
      </c>
      <c r="G21" s="29"/>
      <c r="H21" s="29"/>
      <c r="I21" s="29"/>
    </row>
    <row r="22" customFormat="false" ht="15" hidden="false" customHeight="false" outlineLevel="0" collapsed="false">
      <c r="A22" s="28"/>
      <c r="B22" s="29"/>
      <c r="C22" s="29"/>
      <c r="D22" s="29"/>
      <c r="E22" s="15" t="str">
        <f aca="false">IF(C22="","",INDEX('Цены и маржа'!$H$4:$H$6,MATCH(C22,'Цены и маржа'!$A$4:$A$6,0)))</f>
        <v/>
      </c>
      <c r="F22" s="11" t="str">
        <f aca="false">IF(C22="","",D22*E22)</f>
        <v/>
      </c>
      <c r="G22" s="29"/>
      <c r="H22" s="29"/>
      <c r="I22" s="29"/>
    </row>
    <row r="23" customFormat="false" ht="15" hidden="false" customHeight="false" outlineLevel="0" collapsed="false">
      <c r="A23" s="28"/>
      <c r="B23" s="29"/>
      <c r="C23" s="29"/>
      <c r="D23" s="29"/>
      <c r="E23" s="15" t="str">
        <f aca="false">IF(C23="","",INDEX('Цены и маржа'!$H$4:$H$6,MATCH(C23,'Цены и маржа'!$A$4:$A$6,0)))</f>
        <v/>
      </c>
      <c r="F23" s="11" t="str">
        <f aca="false">IF(C23="","",D23*E23)</f>
        <v/>
      </c>
      <c r="G23" s="29"/>
      <c r="H23" s="29"/>
      <c r="I23" s="29"/>
    </row>
    <row r="24" customFormat="false" ht="15" hidden="false" customHeight="false" outlineLevel="0" collapsed="false">
      <c r="A24" s="28"/>
      <c r="B24" s="29"/>
      <c r="C24" s="29"/>
      <c r="D24" s="29"/>
      <c r="E24" s="15" t="str">
        <f aca="false">IF(C24="","",INDEX('Цены и маржа'!$H$4:$H$6,MATCH(C24,'Цены и маржа'!$A$4:$A$6,0)))</f>
        <v/>
      </c>
      <c r="F24" s="11" t="str">
        <f aca="false">IF(C24="","",D24*E24)</f>
        <v/>
      </c>
      <c r="G24" s="29"/>
      <c r="H24" s="29"/>
      <c r="I24" s="29"/>
    </row>
    <row r="25" customFormat="false" ht="15" hidden="false" customHeight="false" outlineLevel="0" collapsed="false">
      <c r="A25" s="28"/>
      <c r="B25" s="29"/>
      <c r="C25" s="29"/>
      <c r="D25" s="29"/>
      <c r="E25" s="15" t="str">
        <f aca="false">IF(C25="","",INDEX('Цены и маржа'!$H$4:$H$6,MATCH(C25,'Цены и маржа'!$A$4:$A$6,0)))</f>
        <v/>
      </c>
      <c r="F25" s="11" t="str">
        <f aca="false">IF(C25="","",D25*E25)</f>
        <v/>
      </c>
      <c r="G25" s="29"/>
      <c r="H25" s="29"/>
      <c r="I25" s="29"/>
    </row>
    <row r="26" customFormat="false" ht="15" hidden="false" customHeight="false" outlineLevel="0" collapsed="false">
      <c r="A26" s="28"/>
      <c r="B26" s="29"/>
      <c r="C26" s="29"/>
      <c r="D26" s="29"/>
      <c r="E26" s="15" t="str">
        <f aca="false">IF(C26="","",INDEX('Цены и маржа'!$H$4:$H$6,MATCH(C26,'Цены и маржа'!$A$4:$A$6,0)))</f>
        <v/>
      </c>
      <c r="F26" s="11" t="str">
        <f aca="false">IF(C26="","",D26*E26)</f>
        <v/>
      </c>
      <c r="G26" s="29"/>
      <c r="H26" s="29"/>
      <c r="I26" s="29"/>
    </row>
    <row r="27" customFormat="false" ht="15" hidden="false" customHeight="false" outlineLevel="0" collapsed="false">
      <c r="A27" s="28"/>
      <c r="B27" s="29"/>
      <c r="C27" s="29"/>
      <c r="D27" s="29"/>
      <c r="E27" s="15" t="str">
        <f aca="false">IF(C27="","",INDEX('Цены и маржа'!$H$4:$H$6,MATCH(C27,'Цены и маржа'!$A$4:$A$6,0)))</f>
        <v/>
      </c>
      <c r="F27" s="11" t="str">
        <f aca="false">IF(C27="","",D27*E27)</f>
        <v/>
      </c>
      <c r="G27" s="29"/>
      <c r="H27" s="29"/>
      <c r="I27" s="29"/>
    </row>
    <row r="28" customFormat="false" ht="15" hidden="false" customHeight="false" outlineLevel="0" collapsed="false">
      <c r="A28" s="28"/>
      <c r="B28" s="29"/>
      <c r="C28" s="29"/>
      <c r="D28" s="29"/>
      <c r="E28" s="15" t="str">
        <f aca="false">IF(C28="","",INDEX('Цены и маржа'!$H$4:$H$6,MATCH(C28,'Цены и маржа'!$A$4:$A$6,0)))</f>
        <v/>
      </c>
      <c r="F28" s="11" t="str">
        <f aca="false">IF(C28="","",D28*E28)</f>
        <v/>
      </c>
      <c r="G28" s="29"/>
      <c r="H28" s="29"/>
      <c r="I28" s="29"/>
    </row>
    <row r="29" customFormat="false" ht="15" hidden="false" customHeight="false" outlineLevel="0" collapsed="false">
      <c r="A29" s="28"/>
      <c r="B29" s="29"/>
      <c r="C29" s="29"/>
      <c r="D29" s="29"/>
      <c r="E29" s="15" t="str">
        <f aca="false">IF(C29="","",INDEX('Цены и маржа'!$H$4:$H$6,MATCH(C29,'Цены и маржа'!$A$4:$A$6,0)))</f>
        <v/>
      </c>
      <c r="F29" s="11" t="str">
        <f aca="false">IF(C29="","",D29*E29)</f>
        <v/>
      </c>
      <c r="G29" s="29"/>
      <c r="H29" s="29"/>
      <c r="I29" s="29"/>
    </row>
    <row r="30" customFormat="false" ht="15" hidden="false" customHeight="false" outlineLevel="0" collapsed="false">
      <c r="A30" s="28"/>
      <c r="B30" s="29"/>
      <c r="C30" s="29"/>
      <c r="D30" s="29"/>
      <c r="E30" s="15" t="str">
        <f aca="false">IF(C30="","",INDEX('Цены и маржа'!$H$4:$H$6,MATCH(C30,'Цены и маржа'!$A$4:$A$6,0)))</f>
        <v/>
      </c>
      <c r="F30" s="11" t="str">
        <f aca="false">IF(C30="","",D30*E30)</f>
        <v/>
      </c>
      <c r="G30" s="29"/>
      <c r="H30" s="29"/>
      <c r="I30" s="29"/>
    </row>
    <row r="31" customFormat="false" ht="15" hidden="false" customHeight="false" outlineLevel="0" collapsed="false">
      <c r="A31" s="28"/>
      <c r="B31" s="29"/>
      <c r="C31" s="29"/>
      <c r="D31" s="29"/>
      <c r="E31" s="15" t="str">
        <f aca="false">IF(C31="","",INDEX('Цены и маржа'!$H$4:$H$6,MATCH(C31,'Цены и маржа'!$A$4:$A$6,0)))</f>
        <v/>
      </c>
      <c r="F31" s="11" t="str">
        <f aca="false">IF(C31="","",D31*E31)</f>
        <v/>
      </c>
      <c r="G31" s="29"/>
      <c r="H31" s="29"/>
      <c r="I31" s="29"/>
    </row>
    <row r="32" customFormat="false" ht="15" hidden="false" customHeight="false" outlineLevel="0" collapsed="false">
      <c r="A32" s="28"/>
      <c r="B32" s="29"/>
      <c r="C32" s="29"/>
      <c r="D32" s="29"/>
      <c r="E32" s="15" t="str">
        <f aca="false">IF(C32="","",INDEX('Цены и маржа'!$H$4:$H$6,MATCH(C32,'Цены и маржа'!$A$4:$A$6,0)))</f>
        <v/>
      </c>
      <c r="F32" s="11" t="str">
        <f aca="false">IF(C32="","",D32*E32)</f>
        <v/>
      </c>
      <c r="G32" s="29"/>
      <c r="H32" s="29"/>
      <c r="I32" s="29"/>
    </row>
    <row r="33" customFormat="false" ht="15" hidden="false" customHeight="false" outlineLevel="0" collapsed="false">
      <c r="A33" s="28"/>
      <c r="B33" s="29"/>
      <c r="C33" s="29"/>
      <c r="D33" s="29"/>
      <c r="E33" s="15" t="str">
        <f aca="false">IF(C33="","",INDEX('Цены и маржа'!$H$4:$H$6,MATCH(C33,'Цены и маржа'!$A$4:$A$6,0)))</f>
        <v/>
      </c>
      <c r="F33" s="11" t="str">
        <f aca="false">IF(C33="","",D33*E33)</f>
        <v/>
      </c>
      <c r="G33" s="29"/>
      <c r="H33" s="29"/>
      <c r="I33" s="29"/>
    </row>
    <row r="34" customFormat="false" ht="15" hidden="false" customHeight="false" outlineLevel="0" collapsed="false">
      <c r="A34" s="28"/>
      <c r="B34" s="29"/>
      <c r="C34" s="29"/>
      <c r="D34" s="29"/>
      <c r="E34" s="15" t="str">
        <f aca="false">IF(C34="","",INDEX('Цены и маржа'!$H$4:$H$6,MATCH(C34,'Цены и маржа'!$A$4:$A$6,0)))</f>
        <v/>
      </c>
      <c r="F34" s="11" t="str">
        <f aca="false">IF(C34="","",D34*E34)</f>
        <v/>
      </c>
      <c r="G34" s="29"/>
      <c r="H34" s="29"/>
      <c r="I34" s="29"/>
    </row>
    <row r="35" customFormat="false" ht="15" hidden="false" customHeight="false" outlineLevel="0" collapsed="false">
      <c r="A35" s="28"/>
      <c r="B35" s="29"/>
      <c r="C35" s="29"/>
      <c r="D35" s="29"/>
      <c r="E35" s="15" t="str">
        <f aca="false">IF(C35="","",INDEX('Цены и маржа'!$H$4:$H$6,MATCH(C35,'Цены и маржа'!$A$4:$A$6,0)))</f>
        <v/>
      </c>
      <c r="F35" s="11" t="str">
        <f aca="false">IF(C35="","",D35*E35)</f>
        <v/>
      </c>
      <c r="G35" s="29"/>
      <c r="H35" s="29"/>
      <c r="I35" s="29"/>
    </row>
    <row r="36" customFormat="false" ht="15" hidden="false" customHeight="false" outlineLevel="0" collapsed="false">
      <c r="A36" s="28"/>
      <c r="B36" s="29"/>
      <c r="C36" s="29"/>
      <c r="D36" s="29"/>
      <c r="E36" s="15" t="str">
        <f aca="false">IF(C36="","",INDEX('Цены и маржа'!$H$4:$H$6,MATCH(C36,'Цены и маржа'!$A$4:$A$6,0)))</f>
        <v/>
      </c>
      <c r="F36" s="11" t="str">
        <f aca="false">IF(C36="","",D36*E36)</f>
        <v/>
      </c>
      <c r="G36" s="29"/>
      <c r="H36" s="29"/>
      <c r="I36" s="29"/>
    </row>
    <row r="37" customFormat="false" ht="15" hidden="false" customHeight="false" outlineLevel="0" collapsed="false">
      <c r="A37" s="28"/>
      <c r="B37" s="29"/>
      <c r="C37" s="29"/>
      <c r="D37" s="29"/>
      <c r="E37" s="15" t="str">
        <f aca="false">IF(C37="","",INDEX('Цены и маржа'!$H$4:$H$6,MATCH(C37,'Цены и маржа'!$A$4:$A$6,0)))</f>
        <v/>
      </c>
      <c r="F37" s="11" t="str">
        <f aca="false">IF(C37="","",D37*E37)</f>
        <v/>
      </c>
      <c r="G37" s="29"/>
      <c r="H37" s="29"/>
      <c r="I37" s="29"/>
    </row>
    <row r="38" customFormat="false" ht="15" hidden="false" customHeight="false" outlineLevel="0" collapsed="false">
      <c r="A38" s="28"/>
      <c r="B38" s="29"/>
      <c r="C38" s="29"/>
      <c r="D38" s="29"/>
      <c r="E38" s="15" t="str">
        <f aca="false">IF(C38="","",INDEX('Цены и маржа'!$H$4:$H$6,MATCH(C38,'Цены и маржа'!$A$4:$A$6,0)))</f>
        <v/>
      </c>
      <c r="F38" s="11" t="str">
        <f aca="false">IF(C38="","",D38*E38)</f>
        <v/>
      </c>
      <c r="G38" s="29"/>
      <c r="H38" s="29"/>
      <c r="I38" s="29"/>
    </row>
    <row r="39" customFormat="false" ht="15" hidden="false" customHeight="false" outlineLevel="0" collapsed="false">
      <c r="A39" s="28"/>
      <c r="B39" s="29"/>
      <c r="C39" s="29"/>
      <c r="D39" s="29"/>
      <c r="E39" s="15" t="str">
        <f aca="false">IF(C39="","",INDEX('Цены и маржа'!$H$4:$H$6,MATCH(C39,'Цены и маржа'!$A$4:$A$6,0)))</f>
        <v/>
      </c>
      <c r="F39" s="11" t="str">
        <f aca="false">IF(C39="","",D39*E39)</f>
        <v/>
      </c>
      <c r="G39" s="29"/>
      <c r="H39" s="29"/>
      <c r="I39" s="29"/>
    </row>
    <row r="40" customFormat="false" ht="15" hidden="false" customHeight="false" outlineLevel="0" collapsed="false">
      <c r="A40" s="28"/>
      <c r="B40" s="29"/>
      <c r="C40" s="29"/>
      <c r="D40" s="29"/>
      <c r="E40" s="15" t="str">
        <f aca="false">IF(C40="","",INDEX('Цены и маржа'!$H$4:$H$6,MATCH(C40,'Цены и маржа'!$A$4:$A$6,0)))</f>
        <v/>
      </c>
      <c r="F40" s="11" t="str">
        <f aca="false">IF(C40="","",D40*E40)</f>
        <v/>
      </c>
      <c r="G40" s="29"/>
      <c r="H40" s="29"/>
      <c r="I40" s="29"/>
    </row>
    <row r="41" customFormat="false" ht="15" hidden="false" customHeight="false" outlineLevel="0" collapsed="false">
      <c r="A41" s="28"/>
      <c r="B41" s="29"/>
      <c r="C41" s="29"/>
      <c r="D41" s="29"/>
      <c r="E41" s="15" t="str">
        <f aca="false">IF(C41="","",INDEX('Цены и маржа'!$H$4:$H$6,MATCH(C41,'Цены и маржа'!$A$4:$A$6,0)))</f>
        <v/>
      </c>
      <c r="F41" s="11" t="str">
        <f aca="false">IF(C41="","",D41*E41)</f>
        <v/>
      </c>
      <c r="G41" s="29"/>
      <c r="H41" s="29"/>
      <c r="I41" s="29"/>
    </row>
    <row r="42" customFormat="false" ht="15" hidden="false" customHeight="false" outlineLevel="0" collapsed="false">
      <c r="A42" s="28"/>
      <c r="B42" s="29"/>
      <c r="C42" s="29"/>
      <c r="D42" s="29"/>
      <c r="E42" s="15" t="str">
        <f aca="false">IF(C42="","",INDEX('Цены и маржа'!$H$4:$H$6,MATCH(C42,'Цены и маржа'!$A$4:$A$6,0)))</f>
        <v/>
      </c>
      <c r="F42" s="11" t="str">
        <f aca="false">IF(C42="","",D42*E42)</f>
        <v/>
      </c>
      <c r="G42" s="29"/>
      <c r="H42" s="29"/>
      <c r="I42" s="29"/>
    </row>
    <row r="43" customFormat="false" ht="15" hidden="false" customHeight="false" outlineLevel="0" collapsed="false">
      <c r="A43" s="28"/>
      <c r="B43" s="29"/>
      <c r="C43" s="29"/>
      <c r="D43" s="29"/>
      <c r="E43" s="15" t="str">
        <f aca="false">IF(C43="","",INDEX('Цены и маржа'!$H$4:$H$6,MATCH(C43,'Цены и маржа'!$A$4:$A$6,0)))</f>
        <v/>
      </c>
      <c r="F43" s="11" t="str">
        <f aca="false">IF(C43="","",D43*E43)</f>
        <v/>
      </c>
      <c r="G43" s="29"/>
      <c r="H43" s="29"/>
      <c r="I43" s="29"/>
    </row>
    <row r="44" customFormat="false" ht="15" hidden="false" customHeight="false" outlineLevel="0" collapsed="false">
      <c r="A44" s="28"/>
      <c r="B44" s="29"/>
      <c r="C44" s="29"/>
      <c r="D44" s="29"/>
      <c r="E44" s="15" t="str">
        <f aca="false">IF(C44="","",INDEX('Цены и маржа'!$H$4:$H$6,MATCH(C44,'Цены и маржа'!$A$4:$A$6,0)))</f>
        <v/>
      </c>
      <c r="F44" s="11" t="str">
        <f aca="false">IF(C44="","",D44*E44)</f>
        <v/>
      </c>
      <c r="G44" s="29"/>
      <c r="H44" s="29"/>
      <c r="I44" s="29"/>
    </row>
    <row r="45" customFormat="false" ht="15" hidden="false" customHeight="false" outlineLevel="0" collapsed="false">
      <c r="A45" s="28"/>
      <c r="B45" s="29"/>
      <c r="C45" s="29"/>
      <c r="D45" s="29"/>
      <c r="E45" s="15" t="str">
        <f aca="false">IF(C45="","",INDEX('Цены и маржа'!$H$4:$H$6,MATCH(C45,'Цены и маржа'!$A$4:$A$6,0)))</f>
        <v/>
      </c>
      <c r="F45" s="11" t="str">
        <f aca="false">IF(C45="","",D45*E45)</f>
        <v/>
      </c>
      <c r="G45" s="29"/>
      <c r="H45" s="29"/>
      <c r="I45" s="29"/>
    </row>
    <row r="46" customFormat="false" ht="15" hidden="false" customHeight="false" outlineLevel="0" collapsed="false">
      <c r="A46" s="28"/>
      <c r="B46" s="29"/>
      <c r="C46" s="29"/>
      <c r="D46" s="29"/>
      <c r="E46" s="15" t="str">
        <f aca="false">IF(C46="","",INDEX('Цены и маржа'!$H$4:$H$6,MATCH(C46,'Цены и маржа'!$A$4:$A$6,0)))</f>
        <v/>
      </c>
      <c r="F46" s="11" t="str">
        <f aca="false">IF(C46="","",D46*E46)</f>
        <v/>
      </c>
      <c r="G46" s="29"/>
      <c r="H46" s="29"/>
      <c r="I46" s="29"/>
    </row>
    <row r="47" customFormat="false" ht="15" hidden="false" customHeight="false" outlineLevel="0" collapsed="false">
      <c r="A47" s="28"/>
      <c r="B47" s="29"/>
      <c r="C47" s="29"/>
      <c r="D47" s="29"/>
      <c r="E47" s="15" t="str">
        <f aca="false">IF(C47="","",INDEX('Цены и маржа'!$H$4:$H$6,MATCH(C47,'Цены и маржа'!$A$4:$A$6,0)))</f>
        <v/>
      </c>
      <c r="F47" s="11" t="str">
        <f aca="false">IF(C47="","",D47*E47)</f>
        <v/>
      </c>
      <c r="G47" s="29"/>
      <c r="H47" s="29"/>
      <c r="I47" s="29"/>
    </row>
    <row r="48" customFormat="false" ht="15" hidden="false" customHeight="false" outlineLevel="0" collapsed="false">
      <c r="A48" s="28"/>
      <c r="B48" s="29"/>
      <c r="C48" s="29"/>
      <c r="D48" s="29"/>
      <c r="E48" s="15" t="str">
        <f aca="false">IF(C48="","",INDEX('Цены и маржа'!$H$4:$H$6,MATCH(C48,'Цены и маржа'!$A$4:$A$6,0)))</f>
        <v/>
      </c>
      <c r="F48" s="11" t="str">
        <f aca="false">IF(C48="","",D48*E48)</f>
        <v/>
      </c>
      <c r="G48" s="29"/>
      <c r="H48" s="29"/>
      <c r="I48" s="29"/>
    </row>
    <row r="49" customFormat="false" ht="15" hidden="false" customHeight="false" outlineLevel="0" collapsed="false">
      <c r="A49" s="28"/>
      <c r="B49" s="29"/>
      <c r="C49" s="29"/>
      <c r="D49" s="29"/>
      <c r="E49" s="15" t="str">
        <f aca="false">IF(C49="","",INDEX('Цены и маржа'!$H$4:$H$6,MATCH(C49,'Цены и маржа'!$A$4:$A$6,0)))</f>
        <v/>
      </c>
      <c r="F49" s="11" t="str">
        <f aca="false">IF(C49="","",D49*E49)</f>
        <v/>
      </c>
      <c r="G49" s="29"/>
      <c r="H49" s="29"/>
      <c r="I49" s="29"/>
    </row>
    <row r="50" customFormat="false" ht="15" hidden="false" customHeight="false" outlineLevel="0" collapsed="false">
      <c r="A50" s="28"/>
      <c r="B50" s="29"/>
      <c r="C50" s="29"/>
      <c r="D50" s="29"/>
      <c r="E50" s="15" t="str">
        <f aca="false">IF(C50="","",INDEX('Цены и маржа'!$H$4:$H$6,MATCH(C50,'Цены и маржа'!$A$4:$A$6,0)))</f>
        <v/>
      </c>
      <c r="F50" s="11" t="str">
        <f aca="false">IF(C50="","",D50*E50)</f>
        <v/>
      </c>
      <c r="G50" s="29"/>
      <c r="H50" s="29"/>
      <c r="I50" s="29"/>
    </row>
    <row r="51" customFormat="false" ht="15" hidden="false" customHeight="false" outlineLevel="0" collapsed="false">
      <c r="A51" s="28"/>
      <c r="B51" s="29"/>
      <c r="C51" s="29"/>
      <c r="D51" s="29"/>
      <c r="E51" s="15" t="str">
        <f aca="false">IF(C51="","",INDEX('Цены и маржа'!$H$4:$H$6,MATCH(C51,'Цены и маржа'!$A$4:$A$6,0)))</f>
        <v/>
      </c>
      <c r="F51" s="11" t="str">
        <f aca="false">IF(C51="","",D51*E51)</f>
        <v/>
      </c>
      <c r="G51" s="29"/>
      <c r="H51" s="29"/>
      <c r="I51" s="29"/>
    </row>
    <row r="52" customFormat="false" ht="15" hidden="false" customHeight="false" outlineLevel="0" collapsed="false">
      <c r="A52" s="28"/>
      <c r="B52" s="29"/>
      <c r="C52" s="29"/>
      <c r="D52" s="29"/>
      <c r="E52" s="15" t="str">
        <f aca="false">IF(C52="","",INDEX('Цены и маржа'!$H$4:$H$6,MATCH(C52,'Цены и маржа'!$A$4:$A$6,0)))</f>
        <v/>
      </c>
      <c r="F52" s="11" t="str">
        <f aca="false">IF(C52="","",D52*E52)</f>
        <v/>
      </c>
      <c r="G52" s="29"/>
      <c r="H52" s="29"/>
      <c r="I52" s="29"/>
    </row>
    <row r="53" customFormat="false" ht="15" hidden="false" customHeight="false" outlineLevel="0" collapsed="false">
      <c r="A53" s="28"/>
      <c r="B53" s="29"/>
      <c r="C53" s="29"/>
      <c r="D53" s="29"/>
      <c r="E53" s="15" t="str">
        <f aca="false">IF(C53="","",INDEX('Цены и маржа'!$H$4:$H$6,MATCH(C53,'Цены и маржа'!$A$4:$A$6,0)))</f>
        <v/>
      </c>
      <c r="F53" s="11" t="str">
        <f aca="false">IF(C53="","",D53*E53)</f>
        <v/>
      </c>
      <c r="G53" s="29"/>
      <c r="H53" s="29"/>
      <c r="I53" s="29"/>
    </row>
    <row r="54" customFormat="false" ht="15" hidden="false" customHeight="false" outlineLevel="0" collapsed="false">
      <c r="A54" s="28"/>
      <c r="B54" s="29"/>
      <c r="C54" s="29"/>
      <c r="D54" s="29"/>
      <c r="E54" s="15" t="str">
        <f aca="false">IF(C54="","",INDEX('Цены и маржа'!$H$4:$H$6,MATCH(C54,'Цены и маржа'!$A$4:$A$6,0)))</f>
        <v/>
      </c>
      <c r="F54" s="11" t="str">
        <f aca="false">IF(C54="","",D54*E54)</f>
        <v/>
      </c>
      <c r="G54" s="29"/>
      <c r="H54" s="29"/>
      <c r="I54" s="29"/>
    </row>
    <row r="55" customFormat="false" ht="15" hidden="false" customHeight="false" outlineLevel="0" collapsed="false">
      <c r="A55" s="28"/>
      <c r="B55" s="29"/>
      <c r="C55" s="29"/>
      <c r="D55" s="29"/>
      <c r="E55" s="15" t="str">
        <f aca="false">IF(C55="","",INDEX('Цены и маржа'!$H$4:$H$6,MATCH(C55,'Цены и маржа'!$A$4:$A$6,0)))</f>
        <v/>
      </c>
      <c r="F55" s="11" t="str">
        <f aca="false">IF(C55="","",D55*E55)</f>
        <v/>
      </c>
      <c r="G55" s="29"/>
      <c r="H55" s="29"/>
      <c r="I55" s="29"/>
    </row>
    <row r="56" customFormat="false" ht="15" hidden="false" customHeight="false" outlineLevel="0" collapsed="false">
      <c r="A56" s="28"/>
      <c r="B56" s="29"/>
      <c r="C56" s="29"/>
      <c r="D56" s="29"/>
      <c r="E56" s="15" t="str">
        <f aca="false">IF(C56="","",INDEX('Цены и маржа'!$H$4:$H$6,MATCH(C56,'Цены и маржа'!$A$4:$A$6,0)))</f>
        <v/>
      </c>
      <c r="F56" s="11" t="str">
        <f aca="false">IF(C56="","",D56*E56)</f>
        <v/>
      </c>
      <c r="G56" s="29"/>
      <c r="H56" s="29"/>
      <c r="I56" s="29"/>
    </row>
    <row r="57" customFormat="false" ht="15" hidden="false" customHeight="false" outlineLevel="0" collapsed="false">
      <c r="A57" s="28"/>
      <c r="B57" s="29"/>
      <c r="C57" s="29"/>
      <c r="D57" s="29"/>
      <c r="E57" s="15" t="str">
        <f aca="false">IF(C57="","",INDEX('Цены и маржа'!$H$4:$H$6,MATCH(C57,'Цены и маржа'!$A$4:$A$6,0)))</f>
        <v/>
      </c>
      <c r="F57" s="11" t="str">
        <f aca="false">IF(C57="","",D57*E57)</f>
        <v/>
      </c>
      <c r="G57" s="29"/>
      <c r="H57" s="29"/>
      <c r="I57" s="29"/>
    </row>
    <row r="58" customFormat="false" ht="15" hidden="false" customHeight="false" outlineLevel="0" collapsed="false">
      <c r="A58" s="28"/>
      <c r="B58" s="29"/>
      <c r="C58" s="29"/>
      <c r="D58" s="29"/>
      <c r="E58" s="15" t="str">
        <f aca="false">IF(C58="","",INDEX('Цены и маржа'!$H$4:$H$6,MATCH(C58,'Цены и маржа'!$A$4:$A$6,0)))</f>
        <v/>
      </c>
      <c r="F58" s="11" t="str">
        <f aca="false">IF(C58="","",D58*E58)</f>
        <v/>
      </c>
      <c r="G58" s="29"/>
      <c r="H58" s="29"/>
      <c r="I58" s="29"/>
    </row>
    <row r="59" customFormat="false" ht="15" hidden="false" customHeight="false" outlineLevel="0" collapsed="false">
      <c r="A59" s="28"/>
      <c r="B59" s="29"/>
      <c r="C59" s="29"/>
      <c r="D59" s="29"/>
      <c r="E59" s="15" t="str">
        <f aca="false">IF(C59="","",INDEX('Цены и маржа'!$H$4:$H$6,MATCH(C59,'Цены и маржа'!$A$4:$A$6,0)))</f>
        <v/>
      </c>
      <c r="F59" s="11" t="str">
        <f aca="false">IF(C59="","",D59*E59)</f>
        <v/>
      </c>
      <c r="G59" s="29"/>
      <c r="H59" s="29"/>
      <c r="I59" s="29"/>
    </row>
    <row r="60" customFormat="false" ht="15" hidden="false" customHeight="false" outlineLevel="0" collapsed="false">
      <c r="A60" s="28"/>
      <c r="B60" s="29"/>
      <c r="C60" s="29"/>
      <c r="D60" s="29"/>
      <c r="E60" s="15" t="str">
        <f aca="false">IF(C60="","",INDEX('Цены и маржа'!$H$4:$H$6,MATCH(C60,'Цены и маржа'!$A$4:$A$6,0)))</f>
        <v/>
      </c>
      <c r="F60" s="11" t="str">
        <f aca="false">IF(C60="","",D60*E60)</f>
        <v/>
      </c>
      <c r="G60" s="29"/>
      <c r="H60" s="29"/>
      <c r="I60" s="29"/>
    </row>
    <row r="61" customFormat="false" ht="15" hidden="false" customHeight="false" outlineLevel="0" collapsed="false">
      <c r="A61" s="28"/>
      <c r="B61" s="29"/>
      <c r="C61" s="29"/>
      <c r="D61" s="29"/>
      <c r="E61" s="15" t="str">
        <f aca="false">IF(C61="","",INDEX('Цены и маржа'!$H$4:$H$6,MATCH(C61,'Цены и маржа'!$A$4:$A$6,0)))</f>
        <v/>
      </c>
      <c r="F61" s="11" t="str">
        <f aca="false">IF(C61="","",D61*E61)</f>
        <v/>
      </c>
      <c r="G61" s="29"/>
      <c r="H61" s="29"/>
      <c r="I61" s="29"/>
    </row>
    <row r="62" customFormat="false" ht="15" hidden="false" customHeight="false" outlineLevel="0" collapsed="false">
      <c r="A62" s="28"/>
      <c r="B62" s="29"/>
      <c r="C62" s="29"/>
      <c r="D62" s="29"/>
      <c r="E62" s="15" t="str">
        <f aca="false">IF(C62="","",INDEX('Цены и маржа'!$H$4:$H$6,MATCH(C62,'Цены и маржа'!$A$4:$A$6,0)))</f>
        <v/>
      </c>
      <c r="F62" s="11" t="str">
        <f aca="false">IF(C62="","",D62*E62)</f>
        <v/>
      </c>
      <c r="G62" s="29"/>
      <c r="H62" s="29"/>
      <c r="I62" s="29"/>
    </row>
    <row r="63" customFormat="false" ht="15" hidden="false" customHeight="false" outlineLevel="0" collapsed="false">
      <c r="A63" s="28"/>
      <c r="B63" s="29"/>
      <c r="C63" s="29"/>
      <c r="D63" s="29"/>
      <c r="E63" s="15" t="str">
        <f aca="false">IF(C63="","",INDEX('Цены и маржа'!$H$4:$H$6,MATCH(C63,'Цены и маржа'!$A$4:$A$6,0)))</f>
        <v/>
      </c>
      <c r="F63" s="11" t="str">
        <f aca="false">IF(C63="","",D63*E63)</f>
        <v/>
      </c>
      <c r="G63" s="29"/>
      <c r="H63" s="29"/>
      <c r="I63" s="29"/>
    </row>
    <row r="64" customFormat="false" ht="15" hidden="false" customHeight="false" outlineLevel="0" collapsed="false">
      <c r="A64" s="28"/>
      <c r="B64" s="29"/>
      <c r="C64" s="29"/>
      <c r="D64" s="29"/>
      <c r="E64" s="15" t="str">
        <f aca="false">IF(C64="","",INDEX('Цены и маржа'!$H$4:$H$6,MATCH(C64,'Цены и маржа'!$A$4:$A$6,0)))</f>
        <v/>
      </c>
      <c r="F64" s="11" t="str">
        <f aca="false">IF(C64="","",D64*E64)</f>
        <v/>
      </c>
      <c r="G64" s="29"/>
      <c r="H64" s="29"/>
      <c r="I64" s="29"/>
    </row>
    <row r="65" customFormat="false" ht="15" hidden="false" customHeight="false" outlineLevel="0" collapsed="false">
      <c r="A65" s="28"/>
      <c r="B65" s="29"/>
      <c r="C65" s="29"/>
      <c r="D65" s="29"/>
      <c r="E65" s="15" t="str">
        <f aca="false">IF(C65="","",INDEX('Цены и маржа'!$H$4:$H$6,MATCH(C65,'Цены и маржа'!$A$4:$A$6,0)))</f>
        <v/>
      </c>
      <c r="F65" s="11" t="str">
        <f aca="false">IF(C65="","",D65*E65)</f>
        <v/>
      </c>
      <c r="G65" s="29"/>
      <c r="H65" s="29"/>
      <c r="I65" s="29"/>
    </row>
    <row r="66" customFormat="false" ht="15" hidden="false" customHeight="false" outlineLevel="0" collapsed="false">
      <c r="A66" s="28"/>
      <c r="B66" s="29"/>
      <c r="C66" s="29"/>
      <c r="D66" s="29"/>
      <c r="E66" s="15" t="str">
        <f aca="false">IF(C66="","",INDEX('Цены и маржа'!$H$4:$H$6,MATCH(C66,'Цены и маржа'!$A$4:$A$6,0)))</f>
        <v/>
      </c>
      <c r="F66" s="11" t="str">
        <f aca="false">IF(C66="","",D66*E66)</f>
        <v/>
      </c>
      <c r="G66" s="29"/>
      <c r="H66" s="29"/>
      <c r="I66" s="29"/>
    </row>
    <row r="67" customFormat="false" ht="15" hidden="false" customHeight="false" outlineLevel="0" collapsed="false">
      <c r="A67" s="28"/>
      <c r="B67" s="29"/>
      <c r="C67" s="29"/>
      <c r="D67" s="29"/>
      <c r="E67" s="15" t="str">
        <f aca="false">IF(C67="","",INDEX('Цены и маржа'!$H$4:$H$6,MATCH(C67,'Цены и маржа'!$A$4:$A$6,0)))</f>
        <v/>
      </c>
      <c r="F67" s="11" t="str">
        <f aca="false">IF(C67="","",D67*E67)</f>
        <v/>
      </c>
      <c r="G67" s="29"/>
      <c r="H67" s="29"/>
      <c r="I67" s="29"/>
    </row>
    <row r="68" customFormat="false" ht="15" hidden="false" customHeight="false" outlineLevel="0" collapsed="false">
      <c r="A68" s="28"/>
      <c r="B68" s="29"/>
      <c r="C68" s="29"/>
      <c r="D68" s="29"/>
      <c r="E68" s="15" t="str">
        <f aca="false">IF(C68="","",INDEX('Цены и маржа'!$H$4:$H$6,MATCH(C68,'Цены и маржа'!$A$4:$A$6,0)))</f>
        <v/>
      </c>
      <c r="F68" s="11" t="str">
        <f aca="false">IF(C68="","",D68*E68)</f>
        <v/>
      </c>
      <c r="G68" s="29"/>
      <c r="H68" s="29"/>
      <c r="I68" s="29"/>
    </row>
    <row r="69" customFormat="false" ht="15" hidden="false" customHeight="false" outlineLevel="0" collapsed="false">
      <c r="A69" s="28"/>
      <c r="B69" s="29"/>
      <c r="C69" s="29"/>
      <c r="D69" s="29"/>
      <c r="E69" s="15" t="str">
        <f aca="false">IF(C69="","",INDEX('Цены и маржа'!$H$4:$H$6,MATCH(C69,'Цены и маржа'!$A$4:$A$6,0)))</f>
        <v/>
      </c>
      <c r="F69" s="11" t="str">
        <f aca="false">IF(C69="","",D69*E69)</f>
        <v/>
      </c>
      <c r="G69" s="29"/>
      <c r="H69" s="29"/>
      <c r="I69" s="29"/>
    </row>
    <row r="70" customFormat="false" ht="15" hidden="false" customHeight="false" outlineLevel="0" collapsed="false">
      <c r="A70" s="28"/>
      <c r="B70" s="29"/>
      <c r="C70" s="29"/>
      <c r="D70" s="29"/>
      <c r="E70" s="15" t="str">
        <f aca="false">IF(C70="","",INDEX('Цены и маржа'!$H$4:$H$6,MATCH(C70,'Цены и маржа'!$A$4:$A$6,0)))</f>
        <v/>
      </c>
      <c r="F70" s="11" t="str">
        <f aca="false">IF(C70="","",D70*E70)</f>
        <v/>
      </c>
      <c r="G70" s="29"/>
      <c r="H70" s="29"/>
      <c r="I70" s="29"/>
    </row>
    <row r="71" customFormat="false" ht="15" hidden="false" customHeight="false" outlineLevel="0" collapsed="false">
      <c r="A71" s="28"/>
      <c r="B71" s="29"/>
      <c r="C71" s="29"/>
      <c r="D71" s="29"/>
      <c r="E71" s="15" t="str">
        <f aca="false">IF(C71="","",INDEX('Цены и маржа'!$H$4:$H$6,MATCH(C71,'Цены и маржа'!$A$4:$A$6,0)))</f>
        <v/>
      </c>
      <c r="F71" s="11" t="str">
        <f aca="false">IF(C71="","",D71*E71)</f>
        <v/>
      </c>
      <c r="G71" s="29"/>
      <c r="H71" s="29"/>
      <c r="I71" s="29"/>
    </row>
    <row r="72" customFormat="false" ht="15" hidden="false" customHeight="false" outlineLevel="0" collapsed="false">
      <c r="A72" s="28"/>
      <c r="B72" s="29"/>
      <c r="C72" s="29"/>
      <c r="D72" s="29"/>
      <c r="E72" s="15" t="str">
        <f aca="false">IF(C72="","",INDEX('Цены и маржа'!$H$4:$H$6,MATCH(C72,'Цены и маржа'!$A$4:$A$6,0)))</f>
        <v/>
      </c>
      <c r="F72" s="11" t="str">
        <f aca="false">IF(C72="","",D72*E72)</f>
        <v/>
      </c>
      <c r="G72" s="29"/>
      <c r="H72" s="29"/>
      <c r="I72" s="29"/>
    </row>
    <row r="73" customFormat="false" ht="15" hidden="false" customHeight="false" outlineLevel="0" collapsed="false">
      <c r="A73" s="28"/>
      <c r="B73" s="29"/>
      <c r="C73" s="29"/>
      <c r="D73" s="29"/>
      <c r="E73" s="15" t="str">
        <f aca="false">IF(C73="","",INDEX('Цены и маржа'!$H$4:$H$6,MATCH(C73,'Цены и маржа'!$A$4:$A$6,0)))</f>
        <v/>
      </c>
      <c r="F73" s="11" t="str">
        <f aca="false">IF(C73="","",D73*E73)</f>
        <v/>
      </c>
      <c r="G73" s="29"/>
      <c r="H73" s="29"/>
      <c r="I73" s="29"/>
    </row>
    <row r="74" customFormat="false" ht="15" hidden="false" customHeight="false" outlineLevel="0" collapsed="false">
      <c r="A74" s="28"/>
      <c r="B74" s="29"/>
      <c r="C74" s="29"/>
      <c r="D74" s="29"/>
      <c r="E74" s="15" t="str">
        <f aca="false">IF(C74="","",INDEX('Цены и маржа'!$H$4:$H$6,MATCH(C74,'Цены и маржа'!$A$4:$A$6,0)))</f>
        <v/>
      </c>
      <c r="F74" s="11" t="str">
        <f aca="false">IF(C74="","",D74*E74)</f>
        <v/>
      </c>
      <c r="G74" s="29"/>
      <c r="H74" s="29"/>
      <c r="I74" s="29"/>
    </row>
    <row r="75" customFormat="false" ht="15" hidden="false" customHeight="false" outlineLevel="0" collapsed="false">
      <c r="A75" s="28"/>
      <c r="B75" s="29"/>
      <c r="C75" s="29"/>
      <c r="D75" s="29"/>
      <c r="E75" s="15" t="str">
        <f aca="false">IF(C75="","",INDEX('Цены и маржа'!$H$4:$H$6,MATCH(C75,'Цены и маржа'!$A$4:$A$6,0)))</f>
        <v/>
      </c>
      <c r="F75" s="11" t="str">
        <f aca="false">IF(C75="","",D75*E75)</f>
        <v/>
      </c>
      <c r="G75" s="29"/>
      <c r="H75" s="29"/>
      <c r="I75" s="29"/>
    </row>
    <row r="76" customFormat="false" ht="15" hidden="false" customHeight="false" outlineLevel="0" collapsed="false">
      <c r="A76" s="28"/>
      <c r="B76" s="29"/>
      <c r="C76" s="29"/>
      <c r="D76" s="29"/>
      <c r="E76" s="15" t="str">
        <f aca="false">IF(C76="","",INDEX('Цены и маржа'!$H$4:$H$6,MATCH(C76,'Цены и маржа'!$A$4:$A$6,0)))</f>
        <v/>
      </c>
      <c r="F76" s="11" t="str">
        <f aca="false">IF(C76="","",D76*E76)</f>
        <v/>
      </c>
      <c r="G76" s="29"/>
      <c r="H76" s="29"/>
      <c r="I76" s="29"/>
    </row>
    <row r="77" customFormat="false" ht="15" hidden="false" customHeight="false" outlineLevel="0" collapsed="false">
      <c r="A77" s="28"/>
      <c r="B77" s="29"/>
      <c r="C77" s="29"/>
      <c r="D77" s="29"/>
      <c r="E77" s="15" t="str">
        <f aca="false">IF(C77="","",INDEX('Цены и маржа'!$H$4:$H$6,MATCH(C77,'Цены и маржа'!$A$4:$A$6,0)))</f>
        <v/>
      </c>
      <c r="F77" s="11" t="str">
        <f aca="false">IF(C77="","",D77*E77)</f>
        <v/>
      </c>
      <c r="G77" s="29"/>
      <c r="H77" s="29"/>
      <c r="I77" s="29"/>
    </row>
    <row r="78" customFormat="false" ht="15" hidden="false" customHeight="false" outlineLevel="0" collapsed="false">
      <c r="A78" s="28"/>
      <c r="B78" s="29"/>
      <c r="C78" s="29"/>
      <c r="D78" s="29"/>
      <c r="E78" s="15" t="str">
        <f aca="false">IF(C78="","",INDEX('Цены и маржа'!$H$4:$H$6,MATCH(C78,'Цены и маржа'!$A$4:$A$6,0)))</f>
        <v/>
      </c>
      <c r="F78" s="11" t="str">
        <f aca="false">IF(C78="","",D78*E78)</f>
        <v/>
      </c>
      <c r="G78" s="29"/>
      <c r="H78" s="29"/>
      <c r="I78" s="29"/>
    </row>
    <row r="79" customFormat="false" ht="15" hidden="false" customHeight="false" outlineLevel="0" collapsed="false">
      <c r="A79" s="28"/>
      <c r="B79" s="29"/>
      <c r="C79" s="29"/>
      <c r="D79" s="29"/>
      <c r="E79" s="15" t="str">
        <f aca="false">IF(C79="","",INDEX('Цены и маржа'!$H$4:$H$6,MATCH(C79,'Цены и маржа'!$A$4:$A$6,0)))</f>
        <v/>
      </c>
      <c r="F79" s="11" t="str">
        <f aca="false">IF(C79="","",D79*E79)</f>
        <v/>
      </c>
      <c r="G79" s="29"/>
      <c r="H79" s="29"/>
      <c r="I79" s="29"/>
    </row>
    <row r="80" customFormat="false" ht="15" hidden="false" customHeight="false" outlineLevel="0" collapsed="false">
      <c r="A80" s="28"/>
      <c r="B80" s="29"/>
      <c r="C80" s="29"/>
      <c r="D80" s="29"/>
      <c r="E80" s="15" t="str">
        <f aca="false">IF(C80="","",INDEX('Цены и маржа'!$H$4:$H$6,MATCH(C80,'Цены и маржа'!$A$4:$A$6,0)))</f>
        <v/>
      </c>
      <c r="F80" s="11" t="str">
        <f aca="false">IF(C80="","",D80*E80)</f>
        <v/>
      </c>
      <c r="G80" s="29"/>
      <c r="H80" s="29"/>
      <c r="I80" s="29"/>
    </row>
    <row r="81" customFormat="false" ht="15" hidden="false" customHeight="false" outlineLevel="0" collapsed="false">
      <c r="A81" s="28"/>
      <c r="B81" s="29"/>
      <c r="C81" s="29"/>
      <c r="D81" s="29"/>
      <c r="E81" s="15" t="str">
        <f aca="false">IF(C81="","",INDEX('Цены и маржа'!$H$4:$H$6,MATCH(C81,'Цены и маржа'!$A$4:$A$6,0)))</f>
        <v/>
      </c>
      <c r="F81" s="11" t="str">
        <f aca="false">IF(C81="","",D81*E81)</f>
        <v/>
      </c>
      <c r="G81" s="29"/>
      <c r="H81" s="29"/>
      <c r="I81" s="29"/>
    </row>
    <row r="82" customFormat="false" ht="15" hidden="false" customHeight="false" outlineLevel="0" collapsed="false">
      <c r="A82" s="28"/>
      <c r="B82" s="29"/>
      <c r="C82" s="29"/>
      <c r="D82" s="29"/>
      <c r="E82" s="15" t="str">
        <f aca="false">IF(C82="","",INDEX('Цены и маржа'!$H$4:$H$6,MATCH(C82,'Цены и маржа'!$A$4:$A$6,0)))</f>
        <v/>
      </c>
      <c r="F82" s="11" t="str">
        <f aca="false">IF(C82="","",D82*E82)</f>
        <v/>
      </c>
      <c r="G82" s="29"/>
      <c r="H82" s="29"/>
      <c r="I82" s="29"/>
    </row>
    <row r="83" customFormat="false" ht="15" hidden="false" customHeight="false" outlineLevel="0" collapsed="false">
      <c r="A83" s="28"/>
      <c r="B83" s="29"/>
      <c r="C83" s="29"/>
      <c r="D83" s="29"/>
      <c r="E83" s="15" t="str">
        <f aca="false">IF(C83="","",INDEX('Цены и маржа'!$H$4:$H$6,MATCH(C83,'Цены и маржа'!$A$4:$A$6,0)))</f>
        <v/>
      </c>
      <c r="F83" s="11" t="str">
        <f aca="false">IF(C83="","",D83*E83)</f>
        <v/>
      </c>
      <c r="G83" s="29"/>
      <c r="H83" s="29"/>
      <c r="I83" s="29"/>
    </row>
    <row r="84" customFormat="false" ht="15" hidden="false" customHeight="false" outlineLevel="0" collapsed="false">
      <c r="A84" s="28"/>
      <c r="B84" s="29"/>
      <c r="C84" s="29"/>
      <c r="D84" s="29"/>
      <c r="E84" s="15" t="str">
        <f aca="false">IF(C84="","",INDEX('Цены и маржа'!$H$4:$H$6,MATCH(C84,'Цены и маржа'!$A$4:$A$6,0)))</f>
        <v/>
      </c>
      <c r="F84" s="11" t="str">
        <f aca="false">IF(C84="","",D84*E84)</f>
        <v/>
      </c>
      <c r="G84" s="29"/>
      <c r="H84" s="29"/>
      <c r="I84" s="29"/>
    </row>
    <row r="85" customFormat="false" ht="15" hidden="false" customHeight="false" outlineLevel="0" collapsed="false">
      <c r="A85" s="28"/>
      <c r="B85" s="29"/>
      <c r="C85" s="29"/>
      <c r="D85" s="29"/>
      <c r="E85" s="15" t="str">
        <f aca="false">IF(C85="","",INDEX('Цены и маржа'!$H$4:$H$6,MATCH(C85,'Цены и маржа'!$A$4:$A$6,0)))</f>
        <v/>
      </c>
      <c r="F85" s="11" t="str">
        <f aca="false">IF(C85="","",D85*E85)</f>
        <v/>
      </c>
      <c r="G85" s="29"/>
      <c r="H85" s="29"/>
      <c r="I85" s="29"/>
    </row>
    <row r="86" customFormat="false" ht="15" hidden="false" customHeight="false" outlineLevel="0" collapsed="false">
      <c r="A86" s="28"/>
      <c r="B86" s="29"/>
      <c r="C86" s="29"/>
      <c r="D86" s="29"/>
      <c r="E86" s="15" t="str">
        <f aca="false">IF(C86="","",INDEX('Цены и маржа'!$H$4:$H$6,MATCH(C86,'Цены и маржа'!$A$4:$A$6,0)))</f>
        <v/>
      </c>
      <c r="F86" s="11" t="str">
        <f aca="false">IF(C86="","",D86*E86)</f>
        <v/>
      </c>
      <c r="G86" s="29"/>
      <c r="H86" s="29"/>
      <c r="I86" s="29"/>
    </row>
    <row r="87" customFormat="false" ht="15" hidden="false" customHeight="false" outlineLevel="0" collapsed="false">
      <c r="A87" s="28"/>
      <c r="B87" s="29"/>
      <c r="C87" s="29"/>
      <c r="D87" s="29"/>
      <c r="E87" s="15" t="str">
        <f aca="false">IF(C87="","",INDEX('Цены и маржа'!$H$4:$H$6,MATCH(C87,'Цены и маржа'!$A$4:$A$6,0)))</f>
        <v/>
      </c>
      <c r="F87" s="11" t="str">
        <f aca="false">IF(C87="","",D87*E87)</f>
        <v/>
      </c>
      <c r="G87" s="29"/>
      <c r="H87" s="29"/>
      <c r="I87" s="29"/>
    </row>
    <row r="88" customFormat="false" ht="15" hidden="false" customHeight="false" outlineLevel="0" collapsed="false">
      <c r="A88" s="28"/>
      <c r="B88" s="29"/>
      <c r="C88" s="29"/>
      <c r="D88" s="29"/>
      <c r="E88" s="15" t="str">
        <f aca="false">IF(C88="","",INDEX('Цены и маржа'!$H$4:$H$6,MATCH(C88,'Цены и маржа'!$A$4:$A$6,0)))</f>
        <v/>
      </c>
      <c r="F88" s="11" t="str">
        <f aca="false">IF(C88="","",D88*E88)</f>
        <v/>
      </c>
      <c r="G88" s="29"/>
      <c r="H88" s="29"/>
      <c r="I88" s="29"/>
    </row>
    <row r="89" customFormat="false" ht="15" hidden="false" customHeight="false" outlineLevel="0" collapsed="false">
      <c r="A89" s="28"/>
      <c r="B89" s="29"/>
      <c r="C89" s="29"/>
      <c r="D89" s="29"/>
      <c r="E89" s="15" t="str">
        <f aca="false">IF(C89="","",INDEX('Цены и маржа'!$H$4:$H$6,MATCH(C89,'Цены и маржа'!$A$4:$A$6,0)))</f>
        <v/>
      </c>
      <c r="F89" s="11" t="str">
        <f aca="false">IF(C89="","",D89*E89)</f>
        <v/>
      </c>
      <c r="G89" s="29"/>
      <c r="H89" s="29"/>
      <c r="I89" s="29"/>
    </row>
    <row r="90" customFormat="false" ht="15" hidden="false" customHeight="false" outlineLevel="0" collapsed="false">
      <c r="A90" s="28"/>
      <c r="B90" s="29"/>
      <c r="C90" s="29"/>
      <c r="D90" s="29"/>
      <c r="E90" s="15" t="str">
        <f aca="false">IF(C90="","",INDEX('Цены и маржа'!$H$4:$H$6,MATCH(C90,'Цены и маржа'!$A$4:$A$6,0)))</f>
        <v/>
      </c>
      <c r="F90" s="11" t="str">
        <f aca="false">IF(C90="","",D90*E90)</f>
        <v/>
      </c>
      <c r="G90" s="29"/>
      <c r="H90" s="29"/>
      <c r="I90" s="29"/>
    </row>
    <row r="91" customFormat="false" ht="15" hidden="false" customHeight="false" outlineLevel="0" collapsed="false">
      <c r="A91" s="28"/>
      <c r="B91" s="29"/>
      <c r="C91" s="29"/>
      <c r="D91" s="29"/>
      <c r="E91" s="15" t="str">
        <f aca="false">IF(C91="","",INDEX('Цены и маржа'!$H$4:$H$6,MATCH(C91,'Цены и маржа'!$A$4:$A$6,0)))</f>
        <v/>
      </c>
      <c r="F91" s="11" t="str">
        <f aca="false">IF(C91="","",D91*E91)</f>
        <v/>
      </c>
      <c r="G91" s="29"/>
      <c r="H91" s="29"/>
      <c r="I91" s="29"/>
    </row>
    <row r="92" customFormat="false" ht="15" hidden="false" customHeight="false" outlineLevel="0" collapsed="false">
      <c r="A92" s="28"/>
      <c r="B92" s="29"/>
      <c r="C92" s="29"/>
      <c r="D92" s="29"/>
      <c r="E92" s="15" t="str">
        <f aca="false">IF(C92="","",INDEX('Цены и маржа'!$H$4:$H$6,MATCH(C92,'Цены и маржа'!$A$4:$A$6,0)))</f>
        <v/>
      </c>
      <c r="F92" s="11" t="str">
        <f aca="false">IF(C92="","",D92*E92)</f>
        <v/>
      </c>
      <c r="G92" s="29"/>
      <c r="H92" s="29"/>
      <c r="I92" s="29"/>
    </row>
    <row r="93" customFormat="false" ht="15" hidden="false" customHeight="false" outlineLevel="0" collapsed="false">
      <c r="A93" s="28"/>
      <c r="B93" s="29"/>
      <c r="C93" s="29"/>
      <c r="D93" s="29"/>
      <c r="E93" s="15" t="str">
        <f aca="false">IF(C93="","",INDEX('Цены и маржа'!$H$4:$H$6,MATCH(C93,'Цены и маржа'!$A$4:$A$6,0)))</f>
        <v/>
      </c>
      <c r="F93" s="11" t="str">
        <f aca="false">IF(C93="","",D93*E93)</f>
        <v/>
      </c>
      <c r="G93" s="29"/>
      <c r="H93" s="29"/>
      <c r="I93" s="29"/>
    </row>
    <row r="94" customFormat="false" ht="15" hidden="false" customHeight="false" outlineLevel="0" collapsed="false">
      <c r="A94" s="28"/>
      <c r="B94" s="29"/>
      <c r="C94" s="29"/>
      <c r="D94" s="29"/>
      <c r="E94" s="15" t="str">
        <f aca="false">IF(C94="","",INDEX('Цены и маржа'!$H$4:$H$6,MATCH(C94,'Цены и маржа'!$A$4:$A$6,0)))</f>
        <v/>
      </c>
      <c r="F94" s="11" t="str">
        <f aca="false">IF(C94="","",D94*E94)</f>
        <v/>
      </c>
      <c r="G94" s="29"/>
      <c r="H94" s="29"/>
      <c r="I94" s="29"/>
    </row>
    <row r="95" customFormat="false" ht="15" hidden="false" customHeight="false" outlineLevel="0" collapsed="false">
      <c r="A95" s="28"/>
      <c r="B95" s="29"/>
      <c r="C95" s="29"/>
      <c r="D95" s="29"/>
      <c r="E95" s="15" t="str">
        <f aca="false">IF(C95="","",INDEX('Цены и маржа'!$H$4:$H$6,MATCH(C95,'Цены и маржа'!$A$4:$A$6,0)))</f>
        <v/>
      </c>
      <c r="F95" s="11" t="str">
        <f aca="false">IF(C95="","",D95*E95)</f>
        <v/>
      </c>
      <c r="G95" s="29"/>
      <c r="H95" s="29"/>
      <c r="I95" s="29"/>
    </row>
    <row r="96" customFormat="false" ht="15" hidden="false" customHeight="false" outlineLevel="0" collapsed="false">
      <c r="A96" s="28"/>
      <c r="B96" s="29"/>
      <c r="C96" s="29"/>
      <c r="D96" s="29"/>
      <c r="E96" s="15" t="str">
        <f aca="false">IF(C96="","",INDEX('Цены и маржа'!$H$4:$H$6,MATCH(C96,'Цены и маржа'!$A$4:$A$6,0)))</f>
        <v/>
      </c>
      <c r="F96" s="11" t="str">
        <f aca="false">IF(C96="","",D96*E96)</f>
        <v/>
      </c>
      <c r="G96" s="29"/>
      <c r="H96" s="29"/>
      <c r="I96" s="29"/>
    </row>
    <row r="97" customFormat="false" ht="15" hidden="false" customHeight="false" outlineLevel="0" collapsed="false">
      <c r="A97" s="28"/>
      <c r="B97" s="29"/>
      <c r="C97" s="29"/>
      <c r="D97" s="29"/>
      <c r="E97" s="15" t="str">
        <f aca="false">IF(C97="","",INDEX('Цены и маржа'!$H$4:$H$6,MATCH(C97,'Цены и маржа'!$A$4:$A$6,0)))</f>
        <v/>
      </c>
      <c r="F97" s="11" t="str">
        <f aca="false">IF(C97="","",D97*E97)</f>
        <v/>
      </c>
      <c r="G97" s="29"/>
      <c r="H97" s="29"/>
      <c r="I97" s="29"/>
    </row>
    <row r="98" customFormat="false" ht="15" hidden="false" customHeight="false" outlineLevel="0" collapsed="false">
      <c r="A98" s="28"/>
      <c r="B98" s="29"/>
      <c r="C98" s="29"/>
      <c r="D98" s="29"/>
      <c r="E98" s="15" t="str">
        <f aca="false">IF(C98="","",INDEX('Цены и маржа'!$H$4:$H$6,MATCH(C98,'Цены и маржа'!$A$4:$A$6,0)))</f>
        <v/>
      </c>
      <c r="F98" s="11" t="str">
        <f aca="false">IF(C98="","",D98*E98)</f>
        <v/>
      </c>
      <c r="G98" s="29"/>
      <c r="H98" s="29"/>
      <c r="I98" s="29"/>
    </row>
    <row r="99" customFormat="false" ht="15" hidden="false" customHeight="false" outlineLevel="0" collapsed="false">
      <c r="A99" s="28"/>
      <c r="B99" s="29"/>
      <c r="C99" s="29"/>
      <c r="D99" s="29"/>
      <c r="E99" s="15" t="str">
        <f aca="false">IF(C99="","",INDEX('Цены и маржа'!$H$4:$H$6,MATCH(C99,'Цены и маржа'!$A$4:$A$6,0)))</f>
        <v/>
      </c>
      <c r="F99" s="11" t="str">
        <f aca="false">IF(C99="","",D99*E99)</f>
        <v/>
      </c>
      <c r="G99" s="29"/>
      <c r="H99" s="29"/>
      <c r="I99" s="29"/>
    </row>
    <row r="100" customFormat="false" ht="15" hidden="false" customHeight="false" outlineLevel="0" collapsed="false">
      <c r="A100" s="28"/>
      <c r="B100" s="29"/>
      <c r="C100" s="29"/>
      <c r="D100" s="29"/>
      <c r="E100" s="15" t="str">
        <f aca="false">IF(C100="","",INDEX('Цены и маржа'!$H$4:$H$6,MATCH(C100,'Цены и маржа'!$A$4:$A$6,0)))</f>
        <v/>
      </c>
      <c r="F100" s="11" t="str">
        <f aca="false">IF(C100="","",D100*E100)</f>
        <v/>
      </c>
      <c r="G100" s="29"/>
      <c r="H100" s="29"/>
      <c r="I100" s="29"/>
    </row>
    <row r="101" customFormat="false" ht="15" hidden="false" customHeight="false" outlineLevel="0" collapsed="false">
      <c r="A101" s="28"/>
      <c r="B101" s="29"/>
      <c r="C101" s="29"/>
      <c r="D101" s="29"/>
      <c r="E101" s="15" t="str">
        <f aca="false">IF(C101="","",INDEX('Цены и маржа'!$H$4:$H$6,MATCH(C101,'Цены и маржа'!$A$4:$A$6,0)))</f>
        <v/>
      </c>
      <c r="F101" s="11" t="str">
        <f aca="false">IF(C101="","",D101*E101)</f>
        <v/>
      </c>
      <c r="G101" s="29"/>
      <c r="H101" s="29"/>
      <c r="I101" s="29"/>
    </row>
    <row r="102" customFormat="false" ht="15" hidden="false" customHeight="false" outlineLevel="0" collapsed="false">
      <c r="A102" s="28"/>
      <c r="B102" s="29"/>
      <c r="C102" s="29"/>
      <c r="D102" s="29"/>
      <c r="E102" s="15" t="str">
        <f aca="false">IF(C102="","",INDEX('Цены и маржа'!$H$4:$H$6,MATCH(C102,'Цены и маржа'!$A$4:$A$6,0)))</f>
        <v/>
      </c>
      <c r="F102" s="11" t="str">
        <f aca="false">IF(C102="","",D102*E102)</f>
        <v/>
      </c>
      <c r="G102" s="29"/>
      <c r="H102" s="29"/>
      <c r="I102" s="29"/>
    </row>
    <row r="103" customFormat="false" ht="15" hidden="false" customHeight="false" outlineLevel="0" collapsed="false">
      <c r="A103" s="28"/>
      <c r="B103" s="29"/>
      <c r="C103" s="29"/>
      <c r="D103" s="29"/>
      <c r="E103" s="15" t="str">
        <f aca="false">IF(C103="","",INDEX('Цены и маржа'!$H$4:$H$6,MATCH(C103,'Цены и маржа'!$A$4:$A$6,0)))</f>
        <v/>
      </c>
      <c r="F103" s="11" t="str">
        <f aca="false">IF(C103="","",D103*E103)</f>
        <v/>
      </c>
      <c r="G103" s="29"/>
      <c r="H103" s="29"/>
      <c r="I103" s="29"/>
    </row>
    <row r="104" customFormat="false" ht="15" hidden="false" customHeight="false" outlineLevel="0" collapsed="false">
      <c r="A104" s="28"/>
      <c r="B104" s="29"/>
      <c r="C104" s="29"/>
      <c r="D104" s="29"/>
      <c r="E104" s="15" t="str">
        <f aca="false">IF(C104="","",INDEX('Цены и маржа'!$H$4:$H$6,MATCH(C104,'Цены и маржа'!$A$4:$A$6,0)))</f>
        <v/>
      </c>
      <c r="F104" s="11" t="str">
        <f aca="false">IF(C104="","",D104*E104)</f>
        <v/>
      </c>
      <c r="G104" s="29"/>
      <c r="H104" s="29"/>
      <c r="I104" s="29"/>
    </row>
    <row r="105" customFormat="false" ht="15" hidden="false" customHeight="false" outlineLevel="0" collapsed="false">
      <c r="A105" s="28"/>
      <c r="B105" s="29"/>
      <c r="C105" s="29"/>
      <c r="D105" s="29"/>
      <c r="E105" s="15" t="str">
        <f aca="false">IF(C105="","",INDEX('Цены и маржа'!$H$4:$H$6,MATCH(C105,'Цены и маржа'!$A$4:$A$6,0)))</f>
        <v/>
      </c>
      <c r="F105" s="11" t="str">
        <f aca="false">IF(C105="","",D105*E105)</f>
        <v/>
      </c>
      <c r="G105" s="29"/>
      <c r="H105" s="29"/>
      <c r="I105" s="29"/>
    </row>
    <row r="106" customFormat="false" ht="15" hidden="false" customHeight="false" outlineLevel="0" collapsed="false">
      <c r="A106" s="28"/>
      <c r="B106" s="29"/>
      <c r="C106" s="29"/>
      <c r="D106" s="29"/>
      <c r="E106" s="15" t="str">
        <f aca="false">IF(C106="","",INDEX('Цены и маржа'!$H$4:$H$6,MATCH(C106,'Цены и маржа'!$A$4:$A$6,0)))</f>
        <v/>
      </c>
      <c r="F106" s="11" t="str">
        <f aca="false">IF(C106="","",D106*E106)</f>
        <v/>
      </c>
      <c r="G106" s="29"/>
      <c r="H106" s="29"/>
      <c r="I106" s="29"/>
    </row>
    <row r="107" customFormat="false" ht="15" hidden="false" customHeight="false" outlineLevel="0" collapsed="false">
      <c r="A107" s="28"/>
      <c r="B107" s="29"/>
      <c r="C107" s="29"/>
      <c r="D107" s="29"/>
      <c r="E107" s="15" t="str">
        <f aca="false">IF(C107="","",INDEX('Цены и маржа'!$H$4:$H$6,MATCH(C107,'Цены и маржа'!$A$4:$A$6,0)))</f>
        <v/>
      </c>
      <c r="F107" s="11" t="str">
        <f aca="false">IF(C107="","",D107*E107)</f>
        <v/>
      </c>
      <c r="G107" s="29"/>
      <c r="H107" s="29"/>
      <c r="I107" s="29"/>
    </row>
    <row r="108" customFormat="false" ht="15" hidden="false" customHeight="false" outlineLevel="0" collapsed="false">
      <c r="A108" s="28"/>
      <c r="B108" s="29"/>
      <c r="C108" s="29"/>
      <c r="D108" s="29"/>
      <c r="E108" s="15" t="str">
        <f aca="false">IF(C108="","",INDEX('Цены и маржа'!$H$4:$H$6,MATCH(C108,'Цены и маржа'!$A$4:$A$6,0)))</f>
        <v/>
      </c>
      <c r="F108" s="11" t="str">
        <f aca="false">IF(C108="","",D108*E108)</f>
        <v/>
      </c>
      <c r="G108" s="29"/>
      <c r="H108" s="29"/>
      <c r="I108" s="29"/>
    </row>
    <row r="109" customFormat="false" ht="15" hidden="false" customHeight="false" outlineLevel="0" collapsed="false">
      <c r="A109" s="28"/>
      <c r="B109" s="29"/>
      <c r="C109" s="29"/>
      <c r="D109" s="29"/>
      <c r="E109" s="15" t="str">
        <f aca="false">IF(C109="","",INDEX('Цены и маржа'!$H$4:$H$6,MATCH(C109,'Цены и маржа'!$A$4:$A$6,0)))</f>
        <v/>
      </c>
      <c r="F109" s="11" t="str">
        <f aca="false">IF(C109="","",D109*E109)</f>
        <v/>
      </c>
      <c r="G109" s="29"/>
      <c r="H109" s="29"/>
      <c r="I109" s="29"/>
    </row>
    <row r="110" customFormat="false" ht="15" hidden="false" customHeight="false" outlineLevel="0" collapsed="false">
      <c r="A110" s="28"/>
      <c r="B110" s="29"/>
      <c r="C110" s="29"/>
      <c r="D110" s="29"/>
      <c r="E110" s="15" t="str">
        <f aca="false">IF(C110="","",INDEX('Цены и маржа'!$H$4:$H$6,MATCH(C110,'Цены и маржа'!$A$4:$A$6,0)))</f>
        <v/>
      </c>
      <c r="F110" s="11" t="str">
        <f aca="false">IF(C110="","",D110*E110)</f>
        <v/>
      </c>
      <c r="G110" s="29"/>
      <c r="H110" s="29"/>
      <c r="I110" s="29"/>
    </row>
    <row r="111" customFormat="false" ht="15" hidden="false" customHeight="false" outlineLevel="0" collapsed="false">
      <c r="A111" s="28"/>
      <c r="B111" s="29"/>
      <c r="C111" s="29"/>
      <c r="D111" s="29"/>
      <c r="E111" s="15" t="str">
        <f aca="false">IF(C111="","",INDEX('Цены и маржа'!$H$4:$H$6,MATCH(C111,'Цены и маржа'!$A$4:$A$6,0)))</f>
        <v/>
      </c>
      <c r="F111" s="11" t="str">
        <f aca="false">IF(C111="","",D111*E111)</f>
        <v/>
      </c>
      <c r="G111" s="29"/>
      <c r="H111" s="29"/>
      <c r="I111" s="29"/>
    </row>
    <row r="112" customFormat="false" ht="15" hidden="false" customHeight="false" outlineLevel="0" collapsed="false">
      <c r="A112" s="28"/>
      <c r="B112" s="29"/>
      <c r="C112" s="29"/>
      <c r="D112" s="29"/>
      <c r="E112" s="15" t="str">
        <f aca="false">IF(C112="","",INDEX('Цены и маржа'!$H$4:$H$6,MATCH(C112,'Цены и маржа'!$A$4:$A$6,0)))</f>
        <v/>
      </c>
      <c r="F112" s="11" t="str">
        <f aca="false">IF(C112="","",D112*E112)</f>
        <v/>
      </c>
      <c r="G112" s="29"/>
      <c r="H112" s="29"/>
      <c r="I112" s="29"/>
    </row>
    <row r="113" customFormat="false" ht="15" hidden="false" customHeight="false" outlineLevel="0" collapsed="false">
      <c r="A113" s="28"/>
      <c r="B113" s="29"/>
      <c r="C113" s="29"/>
      <c r="D113" s="29"/>
      <c r="E113" s="15" t="str">
        <f aca="false">IF(C113="","",INDEX('Цены и маржа'!$H$4:$H$6,MATCH(C113,'Цены и маржа'!$A$4:$A$6,0)))</f>
        <v/>
      </c>
      <c r="F113" s="11" t="str">
        <f aca="false">IF(C113="","",D113*E113)</f>
        <v/>
      </c>
      <c r="G113" s="29"/>
      <c r="H113" s="29"/>
      <c r="I113" s="29"/>
    </row>
    <row r="114" customFormat="false" ht="15" hidden="false" customHeight="false" outlineLevel="0" collapsed="false">
      <c r="A114" s="28"/>
      <c r="B114" s="29"/>
      <c r="C114" s="29"/>
      <c r="D114" s="29"/>
      <c r="E114" s="15" t="str">
        <f aca="false">IF(C114="","",INDEX('Цены и маржа'!$H$4:$H$6,MATCH(C114,'Цены и маржа'!$A$4:$A$6,0)))</f>
        <v/>
      </c>
      <c r="F114" s="11" t="str">
        <f aca="false">IF(C114="","",D114*E114)</f>
        <v/>
      </c>
      <c r="G114" s="29"/>
      <c r="H114" s="29"/>
      <c r="I114" s="29"/>
    </row>
    <row r="115" customFormat="false" ht="15" hidden="false" customHeight="false" outlineLevel="0" collapsed="false">
      <c r="A115" s="28"/>
      <c r="B115" s="29"/>
      <c r="C115" s="29"/>
      <c r="D115" s="29"/>
      <c r="E115" s="15" t="str">
        <f aca="false">IF(C115="","",INDEX('Цены и маржа'!$H$4:$H$6,MATCH(C115,'Цены и маржа'!$A$4:$A$6,0)))</f>
        <v/>
      </c>
      <c r="F115" s="11" t="str">
        <f aca="false">IF(C115="","",D115*E115)</f>
        <v/>
      </c>
      <c r="G115" s="29"/>
      <c r="H115" s="29"/>
      <c r="I115" s="29"/>
    </row>
    <row r="116" customFormat="false" ht="15" hidden="false" customHeight="false" outlineLevel="0" collapsed="false">
      <c r="A116" s="28"/>
      <c r="B116" s="29"/>
      <c r="C116" s="29"/>
      <c r="D116" s="29"/>
      <c r="E116" s="15" t="str">
        <f aca="false">IF(C116="","",INDEX('Цены и маржа'!$H$4:$H$6,MATCH(C116,'Цены и маржа'!$A$4:$A$6,0)))</f>
        <v/>
      </c>
      <c r="F116" s="11" t="str">
        <f aca="false">IF(C116="","",D116*E116)</f>
        <v/>
      </c>
      <c r="G116" s="29"/>
      <c r="H116" s="29"/>
      <c r="I116" s="29"/>
    </row>
    <row r="117" customFormat="false" ht="15" hidden="false" customHeight="false" outlineLevel="0" collapsed="false">
      <c r="A117" s="28"/>
      <c r="B117" s="29"/>
      <c r="C117" s="29"/>
      <c r="D117" s="29"/>
      <c r="E117" s="15" t="str">
        <f aca="false">IF(C117="","",INDEX('Цены и маржа'!$H$4:$H$6,MATCH(C117,'Цены и маржа'!$A$4:$A$6,0)))</f>
        <v/>
      </c>
      <c r="F117" s="11" t="str">
        <f aca="false">IF(C117="","",D117*E117)</f>
        <v/>
      </c>
      <c r="G117" s="29"/>
      <c r="H117" s="29"/>
      <c r="I117" s="29"/>
    </row>
    <row r="118" customFormat="false" ht="15" hidden="false" customHeight="false" outlineLevel="0" collapsed="false">
      <c r="A118" s="28"/>
      <c r="B118" s="29"/>
      <c r="C118" s="29"/>
      <c r="D118" s="29"/>
      <c r="E118" s="15" t="str">
        <f aca="false">IF(C118="","",INDEX('Цены и маржа'!$H$4:$H$6,MATCH(C118,'Цены и маржа'!$A$4:$A$6,0)))</f>
        <v/>
      </c>
      <c r="F118" s="11" t="str">
        <f aca="false">IF(C118="","",D118*E118)</f>
        <v/>
      </c>
      <c r="G118" s="29"/>
      <c r="H118" s="29"/>
      <c r="I118" s="29"/>
    </row>
    <row r="119" customFormat="false" ht="15" hidden="false" customHeight="false" outlineLevel="0" collapsed="false">
      <c r="A119" s="28"/>
      <c r="B119" s="29"/>
      <c r="C119" s="29"/>
      <c r="D119" s="29"/>
      <c r="E119" s="15" t="str">
        <f aca="false">IF(C119="","",INDEX('Цены и маржа'!$H$4:$H$6,MATCH(C119,'Цены и маржа'!$A$4:$A$6,0)))</f>
        <v/>
      </c>
      <c r="F119" s="11" t="str">
        <f aca="false">IF(C119="","",D119*E119)</f>
        <v/>
      </c>
      <c r="G119" s="29"/>
      <c r="H119" s="29"/>
      <c r="I119" s="29"/>
    </row>
    <row r="120" customFormat="false" ht="15" hidden="false" customHeight="false" outlineLevel="0" collapsed="false">
      <c r="A120" s="28"/>
      <c r="B120" s="29"/>
      <c r="C120" s="29"/>
      <c r="D120" s="29"/>
      <c r="E120" s="15" t="str">
        <f aca="false">IF(C120="","",INDEX('Цены и маржа'!$H$4:$H$6,MATCH(C120,'Цены и маржа'!$A$4:$A$6,0)))</f>
        <v/>
      </c>
      <c r="F120" s="11" t="str">
        <f aca="false">IF(C120="","",D120*E120)</f>
        <v/>
      </c>
      <c r="G120" s="29"/>
      <c r="H120" s="29"/>
      <c r="I120" s="29"/>
    </row>
    <row r="121" customFormat="false" ht="15" hidden="false" customHeight="false" outlineLevel="0" collapsed="false">
      <c r="A121" s="28"/>
      <c r="B121" s="29"/>
      <c r="C121" s="29"/>
      <c r="D121" s="29"/>
      <c r="E121" s="15" t="str">
        <f aca="false">IF(C121="","",INDEX('Цены и маржа'!$H$4:$H$6,MATCH(C121,'Цены и маржа'!$A$4:$A$6,0)))</f>
        <v/>
      </c>
      <c r="F121" s="11" t="str">
        <f aca="false">IF(C121="","",D121*E121)</f>
        <v/>
      </c>
      <c r="G121" s="29"/>
      <c r="H121" s="29"/>
      <c r="I121" s="29"/>
    </row>
    <row r="122" customFormat="false" ht="15" hidden="false" customHeight="false" outlineLevel="0" collapsed="false">
      <c r="A122" s="28"/>
      <c r="B122" s="29"/>
      <c r="C122" s="29"/>
      <c r="D122" s="29"/>
      <c r="E122" s="15" t="str">
        <f aca="false">IF(C122="","",INDEX('Цены и маржа'!$H$4:$H$6,MATCH(C122,'Цены и маржа'!$A$4:$A$6,0)))</f>
        <v/>
      </c>
      <c r="F122" s="11" t="str">
        <f aca="false">IF(C122="","",D122*E122)</f>
        <v/>
      </c>
      <c r="G122" s="29"/>
      <c r="H122" s="29"/>
      <c r="I122" s="29"/>
    </row>
    <row r="123" customFormat="false" ht="15" hidden="false" customHeight="false" outlineLevel="0" collapsed="false">
      <c r="A123" s="28"/>
      <c r="B123" s="29"/>
      <c r="C123" s="29"/>
      <c r="D123" s="29"/>
      <c r="E123" s="15" t="str">
        <f aca="false">IF(C123="","",INDEX('Цены и маржа'!$H$4:$H$6,MATCH(C123,'Цены и маржа'!$A$4:$A$6,0)))</f>
        <v/>
      </c>
      <c r="F123" s="11" t="str">
        <f aca="false">IF(C123="","",D123*E123)</f>
        <v/>
      </c>
      <c r="G123" s="29"/>
      <c r="H123" s="29"/>
      <c r="I123" s="29"/>
    </row>
    <row r="124" customFormat="false" ht="15" hidden="false" customHeight="false" outlineLevel="0" collapsed="false">
      <c r="A124" s="28"/>
      <c r="B124" s="29"/>
      <c r="C124" s="29"/>
      <c r="D124" s="29"/>
      <c r="E124" s="15" t="str">
        <f aca="false">IF(C124="","",INDEX('Цены и маржа'!$H$4:$H$6,MATCH(C124,'Цены и маржа'!$A$4:$A$6,0)))</f>
        <v/>
      </c>
      <c r="F124" s="11" t="str">
        <f aca="false">IF(C124="","",D124*E124)</f>
        <v/>
      </c>
      <c r="G124" s="29"/>
      <c r="H124" s="29"/>
      <c r="I124" s="29"/>
    </row>
    <row r="125" customFormat="false" ht="15" hidden="false" customHeight="false" outlineLevel="0" collapsed="false">
      <c r="A125" s="28"/>
      <c r="B125" s="29"/>
      <c r="C125" s="29"/>
      <c r="D125" s="29"/>
      <c r="E125" s="15" t="str">
        <f aca="false">IF(C125="","",INDEX('Цены и маржа'!$H$4:$H$6,MATCH(C125,'Цены и маржа'!$A$4:$A$6,0)))</f>
        <v/>
      </c>
      <c r="F125" s="11" t="str">
        <f aca="false">IF(C125="","",D125*E125)</f>
        <v/>
      </c>
      <c r="G125" s="29"/>
      <c r="H125" s="29"/>
      <c r="I125" s="29"/>
    </row>
    <row r="126" customFormat="false" ht="15" hidden="false" customHeight="false" outlineLevel="0" collapsed="false">
      <c r="A126" s="28"/>
      <c r="B126" s="29"/>
      <c r="C126" s="29"/>
      <c r="D126" s="29"/>
      <c r="E126" s="15" t="str">
        <f aca="false">IF(C126="","",INDEX('Цены и маржа'!$H$4:$H$6,MATCH(C126,'Цены и маржа'!$A$4:$A$6,0)))</f>
        <v/>
      </c>
      <c r="F126" s="11" t="str">
        <f aca="false">IF(C126="","",D126*E126)</f>
        <v/>
      </c>
      <c r="G126" s="29"/>
      <c r="H126" s="29"/>
      <c r="I126" s="29"/>
    </row>
    <row r="127" customFormat="false" ht="15" hidden="false" customHeight="false" outlineLevel="0" collapsed="false">
      <c r="A127" s="28"/>
      <c r="B127" s="29"/>
      <c r="C127" s="29"/>
      <c r="D127" s="29"/>
      <c r="E127" s="15" t="str">
        <f aca="false">IF(C127="","",INDEX('Цены и маржа'!$H$4:$H$6,MATCH(C127,'Цены и маржа'!$A$4:$A$6,0)))</f>
        <v/>
      </c>
      <c r="F127" s="11" t="str">
        <f aca="false">IF(C127="","",D127*E127)</f>
        <v/>
      </c>
      <c r="G127" s="29"/>
      <c r="H127" s="29"/>
      <c r="I127" s="29"/>
    </row>
    <row r="128" customFormat="false" ht="15" hidden="false" customHeight="false" outlineLevel="0" collapsed="false">
      <c r="A128" s="28"/>
      <c r="B128" s="29"/>
      <c r="C128" s="29"/>
      <c r="D128" s="29"/>
      <c r="E128" s="15" t="str">
        <f aca="false">IF(C128="","",INDEX('Цены и маржа'!$H$4:$H$6,MATCH(C128,'Цены и маржа'!$A$4:$A$6,0)))</f>
        <v/>
      </c>
      <c r="F128" s="11" t="str">
        <f aca="false">IF(C128="","",D128*E128)</f>
        <v/>
      </c>
      <c r="G128" s="29"/>
      <c r="H128" s="29"/>
      <c r="I128" s="29"/>
    </row>
    <row r="129" customFormat="false" ht="15" hidden="false" customHeight="false" outlineLevel="0" collapsed="false">
      <c r="A129" s="28"/>
      <c r="B129" s="29"/>
      <c r="C129" s="29"/>
      <c r="D129" s="29"/>
      <c r="E129" s="15" t="str">
        <f aca="false">IF(C129="","",INDEX('Цены и маржа'!$H$4:$H$6,MATCH(C129,'Цены и маржа'!$A$4:$A$6,0)))</f>
        <v/>
      </c>
      <c r="F129" s="11" t="str">
        <f aca="false">IF(C129="","",D129*E129)</f>
        <v/>
      </c>
      <c r="G129" s="29"/>
      <c r="H129" s="29"/>
      <c r="I129" s="29"/>
    </row>
    <row r="130" customFormat="false" ht="15" hidden="false" customHeight="false" outlineLevel="0" collapsed="false">
      <c r="A130" s="28"/>
      <c r="B130" s="29"/>
      <c r="C130" s="29"/>
      <c r="D130" s="29"/>
      <c r="E130" s="15" t="str">
        <f aca="false">IF(C130="","",INDEX('Цены и маржа'!$H$4:$H$6,MATCH(C130,'Цены и маржа'!$A$4:$A$6,0)))</f>
        <v/>
      </c>
      <c r="F130" s="11" t="str">
        <f aca="false">IF(C130="","",D130*E130)</f>
        <v/>
      </c>
      <c r="G130" s="29"/>
      <c r="H130" s="29"/>
      <c r="I130" s="29"/>
    </row>
    <row r="131" customFormat="false" ht="15" hidden="false" customHeight="false" outlineLevel="0" collapsed="false">
      <c r="A131" s="28"/>
      <c r="B131" s="29"/>
      <c r="C131" s="29"/>
      <c r="D131" s="29"/>
      <c r="E131" s="15" t="str">
        <f aca="false">IF(C131="","",INDEX('Цены и маржа'!$H$4:$H$6,MATCH(C131,'Цены и маржа'!$A$4:$A$6,0)))</f>
        <v/>
      </c>
      <c r="F131" s="11" t="str">
        <f aca="false">IF(C131="","",D131*E131)</f>
        <v/>
      </c>
      <c r="G131" s="29"/>
      <c r="H131" s="29"/>
      <c r="I131" s="29"/>
    </row>
    <row r="132" customFormat="false" ht="15" hidden="false" customHeight="false" outlineLevel="0" collapsed="false">
      <c r="A132" s="28"/>
      <c r="B132" s="29"/>
      <c r="C132" s="29"/>
      <c r="D132" s="29"/>
      <c r="E132" s="15" t="str">
        <f aca="false">IF(C132="","",INDEX('Цены и маржа'!$H$4:$H$6,MATCH(C132,'Цены и маржа'!$A$4:$A$6,0)))</f>
        <v/>
      </c>
      <c r="F132" s="11" t="str">
        <f aca="false">IF(C132="","",D132*E132)</f>
        <v/>
      </c>
      <c r="G132" s="29"/>
      <c r="H132" s="29"/>
      <c r="I132" s="29"/>
    </row>
    <row r="133" customFormat="false" ht="15" hidden="false" customHeight="false" outlineLevel="0" collapsed="false">
      <c r="A133" s="28"/>
      <c r="B133" s="29"/>
      <c r="C133" s="29"/>
      <c r="D133" s="29"/>
      <c r="E133" s="15" t="str">
        <f aca="false">IF(C133="","",INDEX('Цены и маржа'!$H$4:$H$6,MATCH(C133,'Цены и маржа'!$A$4:$A$6,0)))</f>
        <v/>
      </c>
      <c r="F133" s="11" t="str">
        <f aca="false">IF(C133="","",D133*E133)</f>
        <v/>
      </c>
      <c r="G133" s="29"/>
      <c r="H133" s="29"/>
      <c r="I133" s="29"/>
    </row>
    <row r="134" customFormat="false" ht="15" hidden="false" customHeight="false" outlineLevel="0" collapsed="false">
      <c r="A134" s="28"/>
      <c r="B134" s="29"/>
      <c r="C134" s="29"/>
      <c r="D134" s="29"/>
      <c r="E134" s="15" t="str">
        <f aca="false">IF(C134="","",INDEX('Цены и маржа'!$H$4:$H$6,MATCH(C134,'Цены и маржа'!$A$4:$A$6,0)))</f>
        <v/>
      </c>
      <c r="F134" s="11" t="str">
        <f aca="false">IF(C134="","",D134*E134)</f>
        <v/>
      </c>
      <c r="G134" s="29"/>
      <c r="H134" s="29"/>
      <c r="I134" s="29"/>
    </row>
    <row r="135" customFormat="false" ht="15" hidden="false" customHeight="false" outlineLevel="0" collapsed="false">
      <c r="A135" s="28"/>
      <c r="B135" s="29"/>
      <c r="C135" s="29"/>
      <c r="D135" s="29"/>
      <c r="E135" s="15" t="str">
        <f aca="false">IF(C135="","",INDEX('Цены и маржа'!$H$4:$H$6,MATCH(C135,'Цены и маржа'!$A$4:$A$6,0)))</f>
        <v/>
      </c>
      <c r="F135" s="11" t="str">
        <f aca="false">IF(C135="","",D135*E135)</f>
        <v/>
      </c>
      <c r="G135" s="29"/>
      <c r="H135" s="29"/>
      <c r="I135" s="29"/>
    </row>
    <row r="136" customFormat="false" ht="15" hidden="false" customHeight="false" outlineLevel="0" collapsed="false">
      <c r="A136" s="28"/>
      <c r="B136" s="29"/>
      <c r="C136" s="29"/>
      <c r="D136" s="29"/>
      <c r="E136" s="15" t="str">
        <f aca="false">IF(C136="","",INDEX('Цены и маржа'!$H$4:$H$6,MATCH(C136,'Цены и маржа'!$A$4:$A$6,0)))</f>
        <v/>
      </c>
      <c r="F136" s="11" t="str">
        <f aca="false">IF(C136="","",D136*E136)</f>
        <v/>
      </c>
      <c r="G136" s="29"/>
      <c r="H136" s="29"/>
      <c r="I136" s="29"/>
    </row>
    <row r="137" customFormat="false" ht="15" hidden="false" customHeight="false" outlineLevel="0" collapsed="false">
      <c r="A137" s="28"/>
      <c r="B137" s="29"/>
      <c r="C137" s="29"/>
      <c r="D137" s="29"/>
      <c r="E137" s="15" t="str">
        <f aca="false">IF(C137="","",INDEX('Цены и маржа'!$H$4:$H$6,MATCH(C137,'Цены и маржа'!$A$4:$A$6,0)))</f>
        <v/>
      </c>
      <c r="F137" s="11" t="str">
        <f aca="false">IF(C137="","",D137*E137)</f>
        <v/>
      </c>
      <c r="G137" s="29"/>
      <c r="H137" s="29"/>
      <c r="I137" s="29"/>
    </row>
    <row r="138" customFormat="false" ht="15" hidden="false" customHeight="false" outlineLevel="0" collapsed="false">
      <c r="A138" s="28"/>
      <c r="B138" s="29"/>
      <c r="C138" s="29"/>
      <c r="D138" s="29"/>
      <c r="E138" s="15" t="str">
        <f aca="false">IF(C138="","",INDEX('Цены и маржа'!$H$4:$H$6,MATCH(C138,'Цены и маржа'!$A$4:$A$6,0)))</f>
        <v/>
      </c>
      <c r="F138" s="11" t="str">
        <f aca="false">IF(C138="","",D138*E138)</f>
        <v/>
      </c>
      <c r="G138" s="29"/>
      <c r="H138" s="29"/>
      <c r="I138" s="29"/>
    </row>
    <row r="139" customFormat="false" ht="15" hidden="false" customHeight="false" outlineLevel="0" collapsed="false">
      <c r="A139" s="28"/>
      <c r="B139" s="29"/>
      <c r="C139" s="29"/>
      <c r="D139" s="29"/>
      <c r="E139" s="15" t="str">
        <f aca="false">IF(C139="","",INDEX('Цены и маржа'!$H$4:$H$6,MATCH(C139,'Цены и маржа'!$A$4:$A$6,0)))</f>
        <v/>
      </c>
      <c r="F139" s="11" t="str">
        <f aca="false">IF(C139="","",D139*E139)</f>
        <v/>
      </c>
      <c r="G139" s="29"/>
      <c r="H139" s="29"/>
      <c r="I139" s="29"/>
    </row>
    <row r="140" customFormat="false" ht="15" hidden="false" customHeight="false" outlineLevel="0" collapsed="false">
      <c r="A140" s="28"/>
      <c r="B140" s="29"/>
      <c r="C140" s="29"/>
      <c r="D140" s="29"/>
      <c r="E140" s="15" t="str">
        <f aca="false">IF(C140="","",INDEX('Цены и маржа'!$H$4:$H$6,MATCH(C140,'Цены и маржа'!$A$4:$A$6,0)))</f>
        <v/>
      </c>
      <c r="F140" s="11" t="str">
        <f aca="false">IF(C140="","",D140*E140)</f>
        <v/>
      </c>
      <c r="G140" s="29"/>
      <c r="H140" s="29"/>
      <c r="I140" s="29"/>
    </row>
    <row r="141" customFormat="false" ht="15" hidden="false" customHeight="false" outlineLevel="0" collapsed="false">
      <c r="A141" s="28"/>
      <c r="B141" s="29"/>
      <c r="C141" s="29"/>
      <c r="D141" s="29"/>
      <c r="E141" s="15" t="str">
        <f aca="false">IF(C141="","",INDEX('Цены и маржа'!$H$4:$H$6,MATCH(C141,'Цены и маржа'!$A$4:$A$6,0)))</f>
        <v/>
      </c>
      <c r="F141" s="11" t="str">
        <f aca="false">IF(C141="","",D141*E141)</f>
        <v/>
      </c>
      <c r="G141" s="29"/>
      <c r="H141" s="29"/>
      <c r="I141" s="29"/>
    </row>
    <row r="142" customFormat="false" ht="15" hidden="false" customHeight="false" outlineLevel="0" collapsed="false">
      <c r="A142" s="28"/>
      <c r="B142" s="29"/>
      <c r="C142" s="29"/>
      <c r="D142" s="29"/>
      <c r="E142" s="15" t="str">
        <f aca="false">IF(C142="","",INDEX('Цены и маржа'!$H$4:$H$6,MATCH(C142,'Цены и маржа'!$A$4:$A$6,0)))</f>
        <v/>
      </c>
      <c r="F142" s="11" t="str">
        <f aca="false">IF(C142="","",D142*E142)</f>
        <v/>
      </c>
      <c r="G142" s="29"/>
      <c r="H142" s="29"/>
      <c r="I142" s="29"/>
    </row>
    <row r="143" customFormat="false" ht="15" hidden="false" customHeight="false" outlineLevel="0" collapsed="false">
      <c r="A143" s="28"/>
      <c r="B143" s="29"/>
      <c r="C143" s="29"/>
      <c r="D143" s="29"/>
      <c r="E143" s="15" t="str">
        <f aca="false">IF(C143="","",INDEX('Цены и маржа'!$H$4:$H$6,MATCH(C143,'Цены и маржа'!$A$4:$A$6,0)))</f>
        <v/>
      </c>
      <c r="F143" s="11" t="str">
        <f aca="false">IF(C143="","",D143*E143)</f>
        <v/>
      </c>
      <c r="G143" s="29"/>
      <c r="H143" s="29"/>
      <c r="I143" s="29"/>
    </row>
    <row r="144" customFormat="false" ht="15" hidden="false" customHeight="false" outlineLevel="0" collapsed="false">
      <c r="A144" s="28"/>
      <c r="B144" s="29"/>
      <c r="C144" s="29"/>
      <c r="D144" s="29"/>
      <c r="E144" s="15" t="str">
        <f aca="false">IF(C144="","",INDEX('Цены и маржа'!$H$4:$H$6,MATCH(C144,'Цены и маржа'!$A$4:$A$6,0)))</f>
        <v/>
      </c>
      <c r="F144" s="11" t="str">
        <f aca="false">IF(C144="","",D144*E144)</f>
        <v/>
      </c>
      <c r="G144" s="29"/>
      <c r="H144" s="29"/>
      <c r="I144" s="29"/>
    </row>
    <row r="145" customFormat="false" ht="15" hidden="false" customHeight="false" outlineLevel="0" collapsed="false">
      <c r="A145" s="28"/>
      <c r="B145" s="29"/>
      <c r="C145" s="29"/>
      <c r="D145" s="29"/>
      <c r="E145" s="15" t="str">
        <f aca="false">IF(C145="","",INDEX('Цены и маржа'!$H$4:$H$6,MATCH(C145,'Цены и маржа'!$A$4:$A$6,0)))</f>
        <v/>
      </c>
      <c r="F145" s="11" t="str">
        <f aca="false">IF(C145="","",D145*E145)</f>
        <v/>
      </c>
      <c r="G145" s="29"/>
      <c r="H145" s="29"/>
      <c r="I145" s="29"/>
    </row>
    <row r="146" customFormat="false" ht="15" hidden="false" customHeight="false" outlineLevel="0" collapsed="false">
      <c r="A146" s="28"/>
      <c r="B146" s="29"/>
      <c r="C146" s="29"/>
      <c r="D146" s="29"/>
      <c r="E146" s="15" t="str">
        <f aca="false">IF(C146="","",INDEX('Цены и маржа'!$H$4:$H$6,MATCH(C146,'Цены и маржа'!$A$4:$A$6,0)))</f>
        <v/>
      </c>
      <c r="F146" s="11" t="str">
        <f aca="false">IF(C146="","",D146*E146)</f>
        <v/>
      </c>
      <c r="G146" s="29"/>
      <c r="H146" s="29"/>
      <c r="I146" s="29"/>
    </row>
    <row r="147" customFormat="false" ht="15" hidden="false" customHeight="false" outlineLevel="0" collapsed="false">
      <c r="A147" s="28"/>
      <c r="B147" s="29"/>
      <c r="C147" s="29"/>
      <c r="D147" s="29"/>
      <c r="E147" s="15" t="str">
        <f aca="false">IF(C147="","",INDEX('Цены и маржа'!$H$4:$H$6,MATCH(C147,'Цены и маржа'!$A$4:$A$6,0)))</f>
        <v/>
      </c>
      <c r="F147" s="11" t="str">
        <f aca="false">IF(C147="","",D147*E147)</f>
        <v/>
      </c>
      <c r="G147" s="29"/>
      <c r="H147" s="29"/>
      <c r="I147" s="29"/>
    </row>
    <row r="148" customFormat="false" ht="15" hidden="false" customHeight="false" outlineLevel="0" collapsed="false">
      <c r="A148" s="28"/>
      <c r="B148" s="29"/>
      <c r="C148" s="29"/>
      <c r="D148" s="29"/>
      <c r="E148" s="15" t="str">
        <f aca="false">IF(C148="","",INDEX('Цены и маржа'!$H$4:$H$6,MATCH(C148,'Цены и маржа'!$A$4:$A$6,0)))</f>
        <v/>
      </c>
      <c r="F148" s="11" t="str">
        <f aca="false">IF(C148="","",D148*E148)</f>
        <v/>
      </c>
      <c r="G148" s="29"/>
      <c r="H148" s="29"/>
      <c r="I148" s="29"/>
    </row>
    <row r="149" customFormat="false" ht="15" hidden="false" customHeight="false" outlineLevel="0" collapsed="false">
      <c r="A149" s="28"/>
      <c r="B149" s="29"/>
      <c r="C149" s="29"/>
      <c r="D149" s="29"/>
      <c r="E149" s="15" t="str">
        <f aca="false">IF(C149="","",INDEX('Цены и маржа'!$H$4:$H$6,MATCH(C149,'Цены и маржа'!$A$4:$A$6,0)))</f>
        <v/>
      </c>
      <c r="F149" s="11" t="str">
        <f aca="false">IF(C149="","",D149*E149)</f>
        <v/>
      </c>
      <c r="G149" s="29"/>
      <c r="H149" s="29"/>
      <c r="I149" s="29"/>
    </row>
    <row r="150" customFormat="false" ht="15" hidden="false" customHeight="false" outlineLevel="0" collapsed="false">
      <c r="A150" s="28"/>
      <c r="B150" s="29"/>
      <c r="C150" s="29"/>
      <c r="D150" s="29"/>
      <c r="E150" s="15" t="str">
        <f aca="false">IF(C150="","",INDEX('Цены и маржа'!$H$4:$H$6,MATCH(C150,'Цены и маржа'!$A$4:$A$6,0)))</f>
        <v/>
      </c>
      <c r="F150" s="11" t="str">
        <f aca="false">IF(C150="","",D150*E150)</f>
        <v/>
      </c>
      <c r="G150" s="29"/>
      <c r="H150" s="29"/>
      <c r="I150" s="29"/>
    </row>
    <row r="151" customFormat="false" ht="15" hidden="false" customHeight="false" outlineLevel="0" collapsed="false">
      <c r="A151" s="28"/>
      <c r="B151" s="29"/>
      <c r="C151" s="29"/>
      <c r="D151" s="29"/>
      <c r="E151" s="15" t="str">
        <f aca="false">IF(C151="","",INDEX('Цены и маржа'!$H$4:$H$6,MATCH(C151,'Цены и маржа'!$A$4:$A$6,0)))</f>
        <v/>
      </c>
      <c r="F151" s="11" t="str">
        <f aca="false">IF(C151="","",D151*E151)</f>
        <v/>
      </c>
      <c r="G151" s="29"/>
      <c r="H151" s="29"/>
      <c r="I151" s="29"/>
    </row>
    <row r="152" customFormat="false" ht="15" hidden="false" customHeight="false" outlineLevel="0" collapsed="false">
      <c r="A152" s="28"/>
      <c r="B152" s="29"/>
      <c r="C152" s="29"/>
      <c r="D152" s="29"/>
      <c r="E152" s="15" t="str">
        <f aca="false">IF(C152="","",INDEX('Цены и маржа'!$H$4:$H$6,MATCH(C152,'Цены и маржа'!$A$4:$A$6,0)))</f>
        <v/>
      </c>
      <c r="F152" s="11" t="str">
        <f aca="false">IF(C152="","",D152*E152)</f>
        <v/>
      </c>
      <c r="G152" s="29"/>
      <c r="H152" s="29"/>
      <c r="I152" s="29"/>
    </row>
    <row r="153" customFormat="false" ht="15" hidden="false" customHeight="false" outlineLevel="0" collapsed="false">
      <c r="A153" s="28"/>
      <c r="B153" s="29"/>
      <c r="C153" s="29"/>
      <c r="D153" s="29"/>
      <c r="E153" s="15" t="str">
        <f aca="false">IF(C153="","",INDEX('Цены и маржа'!$H$4:$H$6,MATCH(C153,'Цены и маржа'!$A$4:$A$6,0)))</f>
        <v/>
      </c>
      <c r="F153" s="11" t="str">
        <f aca="false">IF(C153="","",D153*E153)</f>
        <v/>
      </c>
      <c r="G153" s="29"/>
      <c r="H153" s="29"/>
      <c r="I153" s="29"/>
    </row>
    <row r="154" customFormat="false" ht="15" hidden="false" customHeight="false" outlineLevel="0" collapsed="false">
      <c r="A154" s="28"/>
      <c r="B154" s="29"/>
      <c r="C154" s="29"/>
      <c r="D154" s="29"/>
      <c r="E154" s="15" t="str">
        <f aca="false">IF(C154="","",INDEX('Цены и маржа'!$H$4:$H$6,MATCH(C154,'Цены и маржа'!$A$4:$A$6,0)))</f>
        <v/>
      </c>
      <c r="F154" s="11" t="str">
        <f aca="false">IF(C154="","",D154*E154)</f>
        <v/>
      </c>
      <c r="G154" s="29"/>
      <c r="H154" s="29"/>
      <c r="I154" s="29"/>
    </row>
    <row r="155" customFormat="false" ht="15" hidden="false" customHeight="false" outlineLevel="0" collapsed="false">
      <c r="A155" s="28"/>
      <c r="B155" s="29"/>
      <c r="C155" s="29"/>
      <c r="D155" s="29"/>
      <c r="E155" s="15" t="str">
        <f aca="false">IF(C155="","",INDEX('Цены и маржа'!$H$4:$H$6,MATCH(C155,'Цены и маржа'!$A$4:$A$6,0)))</f>
        <v/>
      </c>
      <c r="F155" s="11" t="str">
        <f aca="false">IF(C155="","",D155*E155)</f>
        <v/>
      </c>
      <c r="G155" s="29"/>
      <c r="H155" s="29"/>
      <c r="I155" s="29"/>
    </row>
    <row r="156" customFormat="false" ht="15" hidden="false" customHeight="false" outlineLevel="0" collapsed="false">
      <c r="A156" s="28"/>
      <c r="B156" s="29"/>
      <c r="C156" s="29"/>
      <c r="D156" s="29"/>
      <c r="E156" s="15" t="str">
        <f aca="false">IF(C156="","",INDEX('Цены и маржа'!$H$4:$H$6,MATCH(C156,'Цены и маржа'!$A$4:$A$6,0)))</f>
        <v/>
      </c>
      <c r="F156" s="11" t="str">
        <f aca="false">IF(C156="","",D156*E156)</f>
        <v/>
      </c>
      <c r="G156" s="29"/>
      <c r="H156" s="29"/>
      <c r="I156" s="29"/>
    </row>
    <row r="157" customFormat="false" ht="15" hidden="false" customHeight="false" outlineLevel="0" collapsed="false">
      <c r="A157" s="28"/>
      <c r="B157" s="29"/>
      <c r="C157" s="29"/>
      <c r="D157" s="29"/>
      <c r="E157" s="15" t="str">
        <f aca="false">IF(C157="","",INDEX('Цены и маржа'!$H$4:$H$6,MATCH(C157,'Цены и маржа'!$A$4:$A$6,0)))</f>
        <v/>
      </c>
      <c r="F157" s="11" t="str">
        <f aca="false">IF(C157="","",D157*E157)</f>
        <v/>
      </c>
      <c r="G157" s="29"/>
      <c r="H157" s="29"/>
      <c r="I157" s="29"/>
    </row>
    <row r="158" customFormat="false" ht="15" hidden="false" customHeight="false" outlineLevel="0" collapsed="false">
      <c r="A158" s="28"/>
      <c r="B158" s="29"/>
      <c r="C158" s="29"/>
      <c r="D158" s="29"/>
      <c r="E158" s="15" t="str">
        <f aca="false">IF(C158="","",INDEX('Цены и маржа'!$H$4:$H$6,MATCH(C158,'Цены и маржа'!$A$4:$A$6,0)))</f>
        <v/>
      </c>
      <c r="F158" s="11" t="str">
        <f aca="false">IF(C158="","",D158*E158)</f>
        <v/>
      </c>
      <c r="G158" s="29"/>
      <c r="H158" s="29"/>
      <c r="I158" s="29"/>
    </row>
    <row r="159" customFormat="false" ht="15" hidden="false" customHeight="false" outlineLevel="0" collapsed="false">
      <c r="A159" s="28"/>
      <c r="B159" s="29"/>
      <c r="C159" s="29"/>
      <c r="D159" s="29"/>
      <c r="E159" s="15" t="str">
        <f aca="false">IF(C159="","",INDEX('Цены и маржа'!$H$4:$H$6,MATCH(C159,'Цены и маржа'!$A$4:$A$6,0)))</f>
        <v/>
      </c>
      <c r="F159" s="11" t="str">
        <f aca="false">IF(C159="","",D159*E159)</f>
        <v/>
      </c>
      <c r="G159" s="29"/>
      <c r="H159" s="29"/>
      <c r="I159" s="29"/>
    </row>
    <row r="160" customFormat="false" ht="15" hidden="false" customHeight="false" outlineLevel="0" collapsed="false">
      <c r="A160" s="28"/>
      <c r="B160" s="29"/>
      <c r="C160" s="29"/>
      <c r="D160" s="29"/>
      <c r="E160" s="15" t="str">
        <f aca="false">IF(C160="","",INDEX('Цены и маржа'!$H$4:$H$6,MATCH(C160,'Цены и маржа'!$A$4:$A$6,0)))</f>
        <v/>
      </c>
      <c r="F160" s="11" t="str">
        <f aca="false">IF(C160="","",D160*E160)</f>
        <v/>
      </c>
      <c r="G160" s="29"/>
      <c r="H160" s="29"/>
      <c r="I160" s="29"/>
    </row>
    <row r="161" customFormat="false" ht="15" hidden="false" customHeight="false" outlineLevel="0" collapsed="false">
      <c r="A161" s="28"/>
      <c r="B161" s="29"/>
      <c r="C161" s="29"/>
      <c r="D161" s="29"/>
      <c r="E161" s="15" t="str">
        <f aca="false">IF(C161="","",INDEX('Цены и маржа'!$H$4:$H$6,MATCH(C161,'Цены и маржа'!$A$4:$A$6,0)))</f>
        <v/>
      </c>
      <c r="F161" s="11" t="str">
        <f aca="false">IF(C161="","",D161*E161)</f>
        <v/>
      </c>
      <c r="G161" s="29"/>
      <c r="H161" s="29"/>
      <c r="I161" s="29"/>
    </row>
    <row r="162" customFormat="false" ht="15" hidden="false" customHeight="false" outlineLevel="0" collapsed="false">
      <c r="A162" s="28"/>
      <c r="B162" s="29"/>
      <c r="C162" s="29"/>
      <c r="D162" s="29"/>
      <c r="E162" s="15" t="str">
        <f aca="false">IF(C162="","",INDEX('Цены и маржа'!$H$4:$H$6,MATCH(C162,'Цены и маржа'!$A$4:$A$6,0)))</f>
        <v/>
      </c>
      <c r="F162" s="11" t="str">
        <f aca="false">IF(C162="","",D162*E162)</f>
        <v/>
      </c>
      <c r="G162" s="29"/>
      <c r="H162" s="29"/>
      <c r="I162" s="29"/>
    </row>
    <row r="163" customFormat="false" ht="15" hidden="false" customHeight="false" outlineLevel="0" collapsed="false">
      <c r="A163" s="28"/>
      <c r="B163" s="29"/>
      <c r="C163" s="29"/>
      <c r="D163" s="29"/>
      <c r="E163" s="15" t="str">
        <f aca="false">IF(C163="","",INDEX('Цены и маржа'!$H$4:$H$6,MATCH(C163,'Цены и маржа'!$A$4:$A$6,0)))</f>
        <v/>
      </c>
      <c r="F163" s="11" t="str">
        <f aca="false">IF(C163="","",D163*E163)</f>
        <v/>
      </c>
      <c r="G163" s="29"/>
      <c r="H163" s="29"/>
      <c r="I163" s="29"/>
    </row>
    <row r="164" customFormat="false" ht="15" hidden="false" customHeight="false" outlineLevel="0" collapsed="false">
      <c r="A164" s="28"/>
      <c r="B164" s="29"/>
      <c r="C164" s="29"/>
      <c r="D164" s="29"/>
      <c r="E164" s="15" t="str">
        <f aca="false">IF(C164="","",INDEX('Цены и маржа'!$H$4:$H$6,MATCH(C164,'Цены и маржа'!$A$4:$A$6,0)))</f>
        <v/>
      </c>
      <c r="F164" s="11" t="str">
        <f aca="false">IF(C164="","",D164*E164)</f>
        <v/>
      </c>
      <c r="G164" s="29"/>
      <c r="H164" s="29"/>
      <c r="I164" s="29"/>
    </row>
    <row r="165" customFormat="false" ht="15" hidden="false" customHeight="false" outlineLevel="0" collapsed="false">
      <c r="A165" s="28"/>
      <c r="B165" s="29"/>
      <c r="C165" s="29"/>
      <c r="D165" s="29"/>
      <c r="E165" s="15" t="str">
        <f aca="false">IF(C165="","",INDEX('Цены и маржа'!$H$4:$H$6,MATCH(C165,'Цены и маржа'!$A$4:$A$6,0)))</f>
        <v/>
      </c>
      <c r="F165" s="11" t="str">
        <f aca="false">IF(C165="","",D165*E165)</f>
        <v/>
      </c>
      <c r="G165" s="29"/>
      <c r="H165" s="29"/>
      <c r="I165" s="29"/>
    </row>
    <row r="166" customFormat="false" ht="15" hidden="false" customHeight="false" outlineLevel="0" collapsed="false">
      <c r="A166" s="28"/>
      <c r="B166" s="29"/>
      <c r="C166" s="29"/>
      <c r="D166" s="29"/>
      <c r="E166" s="15" t="str">
        <f aca="false">IF(C166="","",INDEX('Цены и маржа'!$H$4:$H$6,MATCH(C166,'Цены и маржа'!$A$4:$A$6,0)))</f>
        <v/>
      </c>
      <c r="F166" s="11" t="str">
        <f aca="false">IF(C166="","",D166*E166)</f>
        <v/>
      </c>
      <c r="G166" s="29"/>
      <c r="H166" s="29"/>
      <c r="I166" s="29"/>
    </row>
    <row r="167" customFormat="false" ht="15" hidden="false" customHeight="false" outlineLevel="0" collapsed="false">
      <c r="A167" s="28"/>
      <c r="B167" s="29"/>
      <c r="C167" s="29"/>
      <c r="D167" s="29"/>
      <c r="E167" s="15" t="str">
        <f aca="false">IF(C167="","",INDEX('Цены и маржа'!$H$4:$H$6,MATCH(C167,'Цены и маржа'!$A$4:$A$6,0)))</f>
        <v/>
      </c>
      <c r="F167" s="11" t="str">
        <f aca="false">IF(C167="","",D167*E167)</f>
        <v/>
      </c>
      <c r="G167" s="29"/>
      <c r="H167" s="29"/>
      <c r="I167" s="29"/>
    </row>
    <row r="168" customFormat="false" ht="15" hidden="false" customHeight="false" outlineLevel="0" collapsed="false">
      <c r="A168" s="28"/>
      <c r="B168" s="29"/>
      <c r="C168" s="29"/>
      <c r="D168" s="29"/>
      <c r="E168" s="15" t="str">
        <f aca="false">IF(C168="","",INDEX('Цены и маржа'!$H$4:$H$6,MATCH(C168,'Цены и маржа'!$A$4:$A$6,0)))</f>
        <v/>
      </c>
      <c r="F168" s="11" t="str">
        <f aca="false">IF(C168="","",D168*E168)</f>
        <v/>
      </c>
      <c r="G168" s="29"/>
      <c r="H168" s="29"/>
      <c r="I168" s="29"/>
    </row>
    <row r="169" customFormat="false" ht="15" hidden="false" customHeight="false" outlineLevel="0" collapsed="false">
      <c r="A169" s="28"/>
      <c r="B169" s="29"/>
      <c r="C169" s="29"/>
      <c r="D169" s="29"/>
      <c r="E169" s="15" t="str">
        <f aca="false">IF(C169="","",INDEX('Цены и маржа'!$H$4:$H$6,MATCH(C169,'Цены и маржа'!$A$4:$A$6,0)))</f>
        <v/>
      </c>
      <c r="F169" s="11" t="str">
        <f aca="false">IF(C169="","",D169*E169)</f>
        <v/>
      </c>
      <c r="G169" s="29"/>
      <c r="H169" s="29"/>
      <c r="I169" s="29"/>
    </row>
    <row r="170" customFormat="false" ht="15" hidden="false" customHeight="false" outlineLevel="0" collapsed="false">
      <c r="A170" s="28"/>
      <c r="B170" s="29"/>
      <c r="C170" s="29"/>
      <c r="D170" s="29"/>
      <c r="E170" s="15" t="str">
        <f aca="false">IF(C170="","",INDEX('Цены и маржа'!$H$4:$H$6,MATCH(C170,'Цены и маржа'!$A$4:$A$6,0)))</f>
        <v/>
      </c>
      <c r="F170" s="11" t="str">
        <f aca="false">IF(C170="","",D170*E170)</f>
        <v/>
      </c>
      <c r="G170" s="29"/>
      <c r="H170" s="29"/>
      <c r="I170" s="29"/>
    </row>
    <row r="171" customFormat="false" ht="15" hidden="false" customHeight="false" outlineLevel="0" collapsed="false">
      <c r="A171" s="28"/>
      <c r="B171" s="29"/>
      <c r="C171" s="29"/>
      <c r="D171" s="29"/>
      <c r="E171" s="15" t="str">
        <f aca="false">IF(C171="","",INDEX('Цены и маржа'!$H$4:$H$6,MATCH(C171,'Цены и маржа'!$A$4:$A$6,0)))</f>
        <v/>
      </c>
      <c r="F171" s="11" t="str">
        <f aca="false">IF(C171="","",D171*E171)</f>
        <v/>
      </c>
      <c r="G171" s="29"/>
      <c r="H171" s="29"/>
      <c r="I171" s="29"/>
    </row>
    <row r="172" customFormat="false" ht="15" hidden="false" customHeight="false" outlineLevel="0" collapsed="false">
      <c r="A172" s="28"/>
      <c r="B172" s="29"/>
      <c r="C172" s="29"/>
      <c r="D172" s="29"/>
      <c r="E172" s="15" t="str">
        <f aca="false">IF(C172="","",INDEX('Цены и маржа'!$H$4:$H$6,MATCH(C172,'Цены и маржа'!$A$4:$A$6,0)))</f>
        <v/>
      </c>
      <c r="F172" s="11" t="str">
        <f aca="false">IF(C172="","",D172*E172)</f>
        <v/>
      </c>
      <c r="G172" s="29"/>
      <c r="H172" s="29"/>
      <c r="I172" s="29"/>
    </row>
    <row r="173" customFormat="false" ht="15" hidden="false" customHeight="false" outlineLevel="0" collapsed="false">
      <c r="A173" s="28"/>
      <c r="B173" s="29"/>
      <c r="C173" s="29"/>
      <c r="D173" s="29"/>
      <c r="E173" s="15" t="str">
        <f aca="false">IF(C173="","",INDEX('Цены и маржа'!$H$4:$H$6,MATCH(C173,'Цены и маржа'!$A$4:$A$6,0)))</f>
        <v/>
      </c>
      <c r="F173" s="11" t="str">
        <f aca="false">IF(C173="","",D173*E173)</f>
        <v/>
      </c>
      <c r="G173" s="29"/>
      <c r="H173" s="29"/>
      <c r="I173" s="29"/>
    </row>
    <row r="174" customFormat="false" ht="15" hidden="false" customHeight="false" outlineLevel="0" collapsed="false">
      <c r="A174" s="28"/>
      <c r="B174" s="29"/>
      <c r="C174" s="29"/>
      <c r="D174" s="29"/>
      <c r="E174" s="15" t="str">
        <f aca="false">IF(C174="","",INDEX('Цены и маржа'!$H$4:$H$6,MATCH(C174,'Цены и маржа'!$A$4:$A$6,0)))</f>
        <v/>
      </c>
      <c r="F174" s="11" t="str">
        <f aca="false">IF(C174="","",D174*E174)</f>
        <v/>
      </c>
      <c r="G174" s="29"/>
      <c r="H174" s="29"/>
      <c r="I174" s="29"/>
    </row>
    <row r="175" customFormat="false" ht="15" hidden="false" customHeight="false" outlineLevel="0" collapsed="false">
      <c r="A175" s="28"/>
      <c r="B175" s="29"/>
      <c r="C175" s="29"/>
      <c r="D175" s="29"/>
      <c r="E175" s="15" t="str">
        <f aca="false">IF(C175="","",INDEX('Цены и маржа'!$H$4:$H$6,MATCH(C175,'Цены и маржа'!$A$4:$A$6,0)))</f>
        <v/>
      </c>
      <c r="F175" s="11" t="str">
        <f aca="false">IF(C175="","",D175*E175)</f>
        <v/>
      </c>
      <c r="G175" s="29"/>
      <c r="H175" s="29"/>
      <c r="I175" s="29"/>
    </row>
    <row r="176" customFormat="false" ht="15" hidden="false" customHeight="false" outlineLevel="0" collapsed="false">
      <c r="A176" s="28"/>
      <c r="B176" s="29"/>
      <c r="C176" s="29"/>
      <c r="D176" s="29"/>
      <c r="E176" s="15" t="str">
        <f aca="false">IF(C176="","",INDEX('Цены и маржа'!$H$4:$H$6,MATCH(C176,'Цены и маржа'!$A$4:$A$6,0)))</f>
        <v/>
      </c>
      <c r="F176" s="11" t="str">
        <f aca="false">IF(C176="","",D176*E176)</f>
        <v/>
      </c>
      <c r="G176" s="29"/>
      <c r="H176" s="29"/>
      <c r="I176" s="29"/>
    </row>
    <row r="177" customFormat="false" ht="15" hidden="false" customHeight="false" outlineLevel="0" collapsed="false">
      <c r="A177" s="28"/>
      <c r="B177" s="29"/>
      <c r="C177" s="29"/>
      <c r="D177" s="29"/>
      <c r="E177" s="15" t="str">
        <f aca="false">IF(C177="","",INDEX('Цены и маржа'!$H$4:$H$6,MATCH(C177,'Цены и маржа'!$A$4:$A$6,0)))</f>
        <v/>
      </c>
      <c r="F177" s="11" t="str">
        <f aca="false">IF(C177="","",D177*E177)</f>
        <v/>
      </c>
      <c r="G177" s="29"/>
      <c r="H177" s="29"/>
      <c r="I177" s="29"/>
    </row>
    <row r="178" customFormat="false" ht="15" hidden="false" customHeight="false" outlineLevel="0" collapsed="false">
      <c r="A178" s="28"/>
      <c r="B178" s="29"/>
      <c r="C178" s="29"/>
      <c r="D178" s="29"/>
      <c r="E178" s="15" t="str">
        <f aca="false">IF(C178="","",INDEX('Цены и маржа'!$H$4:$H$6,MATCH(C178,'Цены и маржа'!$A$4:$A$6,0)))</f>
        <v/>
      </c>
      <c r="F178" s="11" t="str">
        <f aca="false">IF(C178="","",D178*E178)</f>
        <v/>
      </c>
      <c r="G178" s="29"/>
      <c r="H178" s="29"/>
      <c r="I178" s="29"/>
    </row>
    <row r="179" customFormat="false" ht="15" hidden="false" customHeight="false" outlineLevel="0" collapsed="false">
      <c r="A179" s="28"/>
      <c r="B179" s="29"/>
      <c r="C179" s="29"/>
      <c r="D179" s="29"/>
      <c r="E179" s="15" t="str">
        <f aca="false">IF(C179="","",INDEX('Цены и маржа'!$H$4:$H$6,MATCH(C179,'Цены и маржа'!$A$4:$A$6,0)))</f>
        <v/>
      </c>
      <c r="F179" s="11" t="str">
        <f aca="false">IF(C179="","",D179*E179)</f>
        <v/>
      </c>
      <c r="G179" s="29"/>
      <c r="H179" s="29"/>
      <c r="I179" s="29"/>
    </row>
    <row r="180" customFormat="false" ht="15" hidden="false" customHeight="false" outlineLevel="0" collapsed="false">
      <c r="A180" s="28"/>
      <c r="B180" s="29"/>
      <c r="C180" s="29"/>
      <c r="D180" s="29"/>
      <c r="E180" s="15" t="str">
        <f aca="false">IF(C180="","",INDEX('Цены и маржа'!$H$4:$H$6,MATCH(C180,'Цены и маржа'!$A$4:$A$6,0)))</f>
        <v/>
      </c>
      <c r="F180" s="11" t="str">
        <f aca="false">IF(C180="","",D180*E180)</f>
        <v/>
      </c>
      <c r="G180" s="29"/>
      <c r="H180" s="29"/>
      <c r="I180" s="29"/>
    </row>
    <row r="181" customFormat="false" ht="15" hidden="false" customHeight="false" outlineLevel="0" collapsed="false">
      <c r="A181" s="28"/>
      <c r="B181" s="29"/>
      <c r="C181" s="29"/>
      <c r="D181" s="29"/>
      <c r="E181" s="15" t="str">
        <f aca="false">IF(C181="","",INDEX('Цены и маржа'!$H$4:$H$6,MATCH(C181,'Цены и маржа'!$A$4:$A$6,0)))</f>
        <v/>
      </c>
      <c r="F181" s="11" t="str">
        <f aca="false">IF(C181="","",D181*E181)</f>
        <v/>
      </c>
      <c r="G181" s="29"/>
      <c r="H181" s="29"/>
      <c r="I181" s="29"/>
    </row>
    <row r="182" customFormat="false" ht="15" hidden="false" customHeight="false" outlineLevel="0" collapsed="false">
      <c r="A182" s="28"/>
      <c r="B182" s="29"/>
      <c r="C182" s="29"/>
      <c r="D182" s="29"/>
      <c r="E182" s="15" t="str">
        <f aca="false">IF(C182="","",INDEX('Цены и маржа'!$H$4:$H$6,MATCH(C182,'Цены и маржа'!$A$4:$A$6,0)))</f>
        <v/>
      </c>
      <c r="F182" s="11" t="str">
        <f aca="false">IF(C182="","",D182*E182)</f>
        <v/>
      </c>
      <c r="G182" s="29"/>
      <c r="H182" s="29"/>
      <c r="I182" s="29"/>
    </row>
    <row r="183" customFormat="false" ht="15" hidden="false" customHeight="false" outlineLevel="0" collapsed="false">
      <c r="A183" s="28"/>
      <c r="B183" s="29"/>
      <c r="C183" s="29"/>
      <c r="D183" s="29"/>
      <c r="E183" s="15" t="str">
        <f aca="false">IF(C183="","",INDEX('Цены и маржа'!$H$4:$H$6,MATCH(C183,'Цены и маржа'!$A$4:$A$6,0)))</f>
        <v/>
      </c>
      <c r="F183" s="11" t="str">
        <f aca="false">IF(C183="","",D183*E183)</f>
        <v/>
      </c>
      <c r="G183" s="29"/>
      <c r="H183" s="29"/>
      <c r="I183" s="29"/>
    </row>
    <row r="184" customFormat="false" ht="15" hidden="false" customHeight="false" outlineLevel="0" collapsed="false">
      <c r="A184" s="28"/>
      <c r="B184" s="29"/>
      <c r="C184" s="29"/>
      <c r="D184" s="29"/>
      <c r="E184" s="15" t="str">
        <f aca="false">IF(C184="","",INDEX('Цены и маржа'!$H$4:$H$6,MATCH(C184,'Цены и маржа'!$A$4:$A$6,0)))</f>
        <v/>
      </c>
      <c r="F184" s="11" t="str">
        <f aca="false">IF(C184="","",D184*E184)</f>
        <v/>
      </c>
      <c r="G184" s="29"/>
      <c r="H184" s="29"/>
      <c r="I184" s="29"/>
    </row>
    <row r="185" customFormat="false" ht="15" hidden="false" customHeight="false" outlineLevel="0" collapsed="false">
      <c r="A185" s="28"/>
      <c r="B185" s="29"/>
      <c r="C185" s="29"/>
      <c r="D185" s="29"/>
      <c r="E185" s="15" t="str">
        <f aca="false">IF(C185="","",INDEX('Цены и маржа'!$H$4:$H$6,MATCH(C185,'Цены и маржа'!$A$4:$A$6,0)))</f>
        <v/>
      </c>
      <c r="F185" s="11" t="str">
        <f aca="false">IF(C185="","",D185*E185)</f>
        <v/>
      </c>
      <c r="G185" s="29"/>
      <c r="H185" s="29"/>
      <c r="I185" s="29"/>
    </row>
    <row r="186" customFormat="false" ht="15" hidden="false" customHeight="false" outlineLevel="0" collapsed="false">
      <c r="A186" s="28"/>
      <c r="B186" s="29"/>
      <c r="C186" s="29"/>
      <c r="D186" s="29"/>
      <c r="E186" s="15" t="str">
        <f aca="false">IF(C186="","",INDEX('Цены и маржа'!$H$4:$H$6,MATCH(C186,'Цены и маржа'!$A$4:$A$6,0)))</f>
        <v/>
      </c>
      <c r="F186" s="11" t="str">
        <f aca="false">IF(C186="","",D186*E186)</f>
        <v/>
      </c>
      <c r="G186" s="29"/>
      <c r="H186" s="29"/>
      <c r="I186" s="29"/>
    </row>
    <row r="187" customFormat="false" ht="15" hidden="false" customHeight="false" outlineLevel="0" collapsed="false">
      <c r="A187" s="28"/>
      <c r="B187" s="29"/>
      <c r="C187" s="29"/>
      <c r="D187" s="29"/>
      <c r="E187" s="15" t="str">
        <f aca="false">IF(C187="","",INDEX('Цены и маржа'!$H$4:$H$6,MATCH(C187,'Цены и маржа'!$A$4:$A$6,0)))</f>
        <v/>
      </c>
      <c r="F187" s="11" t="str">
        <f aca="false">IF(C187="","",D187*E187)</f>
        <v/>
      </c>
      <c r="G187" s="29"/>
      <c r="H187" s="29"/>
      <c r="I187" s="29"/>
    </row>
    <row r="188" customFormat="false" ht="15" hidden="false" customHeight="false" outlineLevel="0" collapsed="false">
      <c r="A188" s="28"/>
      <c r="B188" s="29"/>
      <c r="C188" s="29"/>
      <c r="D188" s="29"/>
      <c r="E188" s="15" t="str">
        <f aca="false">IF(C188="","",INDEX('Цены и маржа'!$H$4:$H$6,MATCH(C188,'Цены и маржа'!$A$4:$A$6,0)))</f>
        <v/>
      </c>
      <c r="F188" s="11" t="str">
        <f aca="false">IF(C188="","",D188*E188)</f>
        <v/>
      </c>
      <c r="G188" s="29"/>
      <c r="H188" s="29"/>
      <c r="I188" s="29"/>
    </row>
    <row r="189" customFormat="false" ht="15" hidden="false" customHeight="false" outlineLevel="0" collapsed="false">
      <c r="A189" s="28"/>
      <c r="B189" s="29"/>
      <c r="C189" s="29"/>
      <c r="D189" s="29"/>
      <c r="E189" s="15" t="str">
        <f aca="false">IF(C189="","",INDEX('Цены и маржа'!$H$4:$H$6,MATCH(C189,'Цены и маржа'!$A$4:$A$6,0)))</f>
        <v/>
      </c>
      <c r="F189" s="11" t="str">
        <f aca="false">IF(C189="","",D189*E189)</f>
        <v/>
      </c>
      <c r="G189" s="29"/>
      <c r="H189" s="29"/>
      <c r="I189" s="29"/>
    </row>
    <row r="190" customFormat="false" ht="15" hidden="false" customHeight="false" outlineLevel="0" collapsed="false">
      <c r="A190" s="28"/>
      <c r="B190" s="29"/>
      <c r="C190" s="29"/>
      <c r="D190" s="29"/>
      <c r="E190" s="15" t="str">
        <f aca="false">IF(C190="","",INDEX('Цены и маржа'!$H$4:$H$6,MATCH(C190,'Цены и маржа'!$A$4:$A$6,0)))</f>
        <v/>
      </c>
      <c r="F190" s="11" t="str">
        <f aca="false">IF(C190="","",D190*E190)</f>
        <v/>
      </c>
      <c r="G190" s="29"/>
      <c r="H190" s="29"/>
      <c r="I190" s="29"/>
    </row>
    <row r="191" customFormat="false" ht="15" hidden="false" customHeight="false" outlineLevel="0" collapsed="false">
      <c r="A191" s="28"/>
      <c r="B191" s="29"/>
      <c r="C191" s="29"/>
      <c r="D191" s="29"/>
      <c r="E191" s="15" t="str">
        <f aca="false">IF(C191="","",INDEX('Цены и маржа'!$H$4:$H$6,MATCH(C191,'Цены и маржа'!$A$4:$A$6,0)))</f>
        <v/>
      </c>
      <c r="F191" s="11" t="str">
        <f aca="false">IF(C191="","",D191*E191)</f>
        <v/>
      </c>
      <c r="G191" s="29"/>
      <c r="H191" s="29"/>
      <c r="I191" s="29"/>
    </row>
    <row r="192" customFormat="false" ht="15" hidden="false" customHeight="false" outlineLevel="0" collapsed="false">
      <c r="A192" s="28"/>
      <c r="B192" s="29"/>
      <c r="C192" s="29"/>
      <c r="D192" s="29"/>
      <c r="E192" s="15" t="str">
        <f aca="false">IF(C192="","",INDEX('Цены и маржа'!$H$4:$H$6,MATCH(C192,'Цены и маржа'!$A$4:$A$6,0)))</f>
        <v/>
      </c>
      <c r="F192" s="11" t="str">
        <f aca="false">IF(C192="","",D192*E192)</f>
        <v/>
      </c>
      <c r="G192" s="29"/>
      <c r="H192" s="29"/>
      <c r="I192" s="29"/>
    </row>
    <row r="193" customFormat="false" ht="15" hidden="false" customHeight="false" outlineLevel="0" collapsed="false">
      <c r="A193" s="28"/>
      <c r="B193" s="29"/>
      <c r="C193" s="29"/>
      <c r="D193" s="29"/>
      <c r="E193" s="15" t="str">
        <f aca="false">IF(C193="","",INDEX('Цены и маржа'!$H$4:$H$6,MATCH(C193,'Цены и маржа'!$A$4:$A$6,0)))</f>
        <v/>
      </c>
      <c r="F193" s="11" t="str">
        <f aca="false">IF(C193="","",D193*E193)</f>
        <v/>
      </c>
      <c r="G193" s="29"/>
      <c r="H193" s="29"/>
      <c r="I193" s="29"/>
    </row>
    <row r="194" customFormat="false" ht="15" hidden="false" customHeight="false" outlineLevel="0" collapsed="false">
      <c r="A194" s="28"/>
      <c r="B194" s="29"/>
      <c r="C194" s="29"/>
      <c r="D194" s="29"/>
      <c r="E194" s="15" t="str">
        <f aca="false">IF(C194="","",INDEX('Цены и маржа'!$H$4:$H$6,MATCH(C194,'Цены и маржа'!$A$4:$A$6,0)))</f>
        <v/>
      </c>
      <c r="F194" s="11" t="str">
        <f aca="false">IF(C194="","",D194*E194)</f>
        <v/>
      </c>
      <c r="G194" s="29"/>
      <c r="H194" s="29"/>
      <c r="I194" s="29"/>
    </row>
    <row r="195" customFormat="false" ht="15" hidden="false" customHeight="false" outlineLevel="0" collapsed="false">
      <c r="A195" s="28"/>
      <c r="B195" s="29"/>
      <c r="C195" s="29"/>
      <c r="D195" s="29"/>
      <c r="E195" s="15" t="str">
        <f aca="false">IF(C195="","",INDEX('Цены и маржа'!$H$4:$H$6,MATCH(C195,'Цены и маржа'!$A$4:$A$6,0)))</f>
        <v/>
      </c>
      <c r="F195" s="11" t="str">
        <f aca="false">IF(C195="","",D195*E195)</f>
        <v/>
      </c>
      <c r="G195" s="29"/>
      <c r="H195" s="29"/>
      <c r="I195" s="29"/>
    </row>
    <row r="196" customFormat="false" ht="15" hidden="false" customHeight="false" outlineLevel="0" collapsed="false">
      <c r="A196" s="28"/>
      <c r="B196" s="29"/>
      <c r="C196" s="29"/>
      <c r="D196" s="29"/>
      <c r="E196" s="15" t="str">
        <f aca="false">IF(C196="","",INDEX('Цены и маржа'!$H$4:$H$6,MATCH(C196,'Цены и маржа'!$A$4:$A$6,0)))</f>
        <v/>
      </c>
      <c r="F196" s="11" t="str">
        <f aca="false">IF(C196="","",D196*E196)</f>
        <v/>
      </c>
      <c r="G196" s="29"/>
      <c r="H196" s="29"/>
      <c r="I196" s="29"/>
    </row>
    <row r="197" customFormat="false" ht="15" hidden="false" customHeight="false" outlineLevel="0" collapsed="false">
      <c r="A197" s="28"/>
      <c r="B197" s="29"/>
      <c r="C197" s="29"/>
      <c r="D197" s="29"/>
      <c r="E197" s="15" t="str">
        <f aca="false">IF(C197="","",INDEX('Цены и маржа'!$H$4:$H$6,MATCH(C197,'Цены и маржа'!$A$4:$A$6,0)))</f>
        <v/>
      </c>
      <c r="F197" s="11" t="str">
        <f aca="false">IF(C197="","",D197*E197)</f>
        <v/>
      </c>
      <c r="G197" s="29"/>
      <c r="H197" s="29"/>
      <c r="I197" s="29"/>
    </row>
    <row r="198" customFormat="false" ht="15" hidden="false" customHeight="false" outlineLevel="0" collapsed="false">
      <c r="A198" s="28"/>
      <c r="B198" s="29"/>
      <c r="C198" s="29"/>
      <c r="D198" s="29"/>
      <c r="E198" s="15" t="str">
        <f aca="false">IF(C198="","",INDEX('Цены и маржа'!$H$4:$H$6,MATCH(C198,'Цены и маржа'!$A$4:$A$6,0)))</f>
        <v/>
      </c>
      <c r="F198" s="11" t="str">
        <f aca="false">IF(C198="","",D198*E198)</f>
        <v/>
      </c>
      <c r="G198" s="29"/>
      <c r="H198" s="29"/>
      <c r="I198" s="29"/>
    </row>
    <row r="199" customFormat="false" ht="15" hidden="false" customHeight="false" outlineLevel="0" collapsed="false">
      <c r="A199" s="28"/>
      <c r="B199" s="29"/>
      <c r="C199" s="29"/>
      <c r="D199" s="29"/>
      <c r="E199" s="15" t="str">
        <f aca="false">IF(C199="","",INDEX('Цены и маржа'!$H$4:$H$6,MATCH(C199,'Цены и маржа'!$A$4:$A$6,0)))</f>
        <v/>
      </c>
      <c r="F199" s="11" t="str">
        <f aca="false">IF(C199="","",D199*E199)</f>
        <v/>
      </c>
      <c r="G199" s="29"/>
      <c r="H199" s="29"/>
      <c r="I199" s="29"/>
    </row>
    <row r="200" customFormat="false" ht="15" hidden="false" customHeight="false" outlineLevel="0" collapsed="false">
      <c r="A200" s="28"/>
      <c r="B200" s="29"/>
      <c r="C200" s="29"/>
      <c r="D200" s="29"/>
      <c r="E200" s="15" t="str">
        <f aca="false">IF(C200="","",INDEX('Цены и маржа'!$H$4:$H$6,MATCH(C200,'Цены и маржа'!$A$4:$A$6,0)))</f>
        <v/>
      </c>
      <c r="F200" s="11" t="str">
        <f aca="false">IF(C200="","",D200*E200)</f>
        <v/>
      </c>
      <c r="G200" s="29"/>
      <c r="H200" s="29"/>
      <c r="I200" s="29"/>
    </row>
    <row r="201" customFormat="false" ht="15" hidden="false" customHeight="false" outlineLevel="0" collapsed="false">
      <c r="A201" s="28"/>
      <c r="B201" s="29"/>
      <c r="C201" s="29"/>
      <c r="D201" s="29"/>
      <c r="E201" s="15" t="str">
        <f aca="false">IF(C201="","",INDEX('Цены и маржа'!$H$4:$H$6,MATCH(C201,'Цены и маржа'!$A$4:$A$6,0)))</f>
        <v/>
      </c>
      <c r="F201" s="11" t="str">
        <f aca="false">IF(C201="","",D201*E201)</f>
        <v/>
      </c>
      <c r="G201" s="29"/>
      <c r="H201" s="29"/>
      <c r="I201" s="29"/>
    </row>
    <row r="202" customFormat="false" ht="15" hidden="false" customHeight="false" outlineLevel="0" collapsed="false">
      <c r="A202" s="28"/>
      <c r="B202" s="29"/>
      <c r="C202" s="29"/>
      <c r="D202" s="29"/>
      <c r="E202" s="15" t="str">
        <f aca="false">IF(C202="","",INDEX('Цены и маржа'!$H$4:$H$6,MATCH(C202,'Цены и маржа'!$A$4:$A$6,0)))</f>
        <v/>
      </c>
      <c r="F202" s="11" t="str">
        <f aca="false">IF(C202="","",D202*E202)</f>
        <v/>
      </c>
      <c r="G202" s="29"/>
      <c r="H202" s="29"/>
      <c r="I202" s="29"/>
    </row>
    <row r="203" customFormat="false" ht="15" hidden="false" customHeight="false" outlineLevel="0" collapsed="false">
      <c r="A203" s="28"/>
      <c r="B203" s="29"/>
      <c r="C203" s="29"/>
      <c r="D203" s="29"/>
      <c r="E203" s="15" t="str">
        <f aca="false">IF(C203="","",INDEX('Цены и маржа'!$H$4:$H$6,MATCH(C203,'Цены и маржа'!$A$4:$A$6,0)))</f>
        <v/>
      </c>
      <c r="F203" s="11" t="str">
        <f aca="false">IF(C203="","",D203*E203)</f>
        <v/>
      </c>
      <c r="G203" s="29"/>
      <c r="H203" s="29"/>
      <c r="I203" s="29"/>
    </row>
    <row r="204" customFormat="false" ht="15" hidden="false" customHeight="false" outlineLevel="0" collapsed="false">
      <c r="A204" s="28"/>
      <c r="B204" s="29"/>
      <c r="C204" s="29"/>
      <c r="D204" s="29"/>
      <c r="E204" s="15" t="str">
        <f aca="false">IF(C204="","",INDEX('Цены и маржа'!$H$4:$H$6,MATCH(C204,'Цены и маржа'!$A$4:$A$6,0)))</f>
        <v/>
      </c>
      <c r="F204" s="11" t="str">
        <f aca="false">IF(C204="","",D204*E204)</f>
        <v/>
      </c>
      <c r="G204" s="29"/>
      <c r="H204" s="29"/>
      <c r="I204" s="29"/>
    </row>
  </sheetData>
  <dataValidations count="3">
    <dataValidation allowBlank="true" errorStyle="stop" operator="between" showDropDown="false" showErrorMessage="false" showInputMessage="false" sqref="C5:C204" type="list">
      <formula1>'Цены и маржа'!$A$4:$A$6</formula1>
      <formula2>0</formula2>
    </dataValidation>
    <dataValidation allowBlank="true" errorStyle="stop" operator="between" showDropDown="false" showErrorMessage="false" showInputMessage="false" sqref="G5:G204" type="list">
      <formula1>"Kaspi,Наличные"</formula1>
      <formula2>0</formula2>
    </dataValidation>
    <dataValidation allowBlank="true" errorStyle="stop" operator="between" showDropDown="false" showErrorMessage="false" showInputMessage="false" sqref="H5:H204" type="list">
      <formula1>"Доставка,Самовывоз"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2026-10-11T19:58:40Z</dcterms:created>
  <dc:creator>openpyxl</dc:creator>
  <dc:description/>
  <dc:language>en-US</dc:language>
  <cp:lastModifiedBy/>
  <dcterms:modified xsi:type="dcterms:W3CDTF">2026-10-11T19:58:41Z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